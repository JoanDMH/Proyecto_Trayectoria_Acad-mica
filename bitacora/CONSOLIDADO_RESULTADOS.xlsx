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 Resumen" sheetId="1" state="visible" r:id="rId1"/>
    <sheet xmlns:r="http://schemas.openxmlformats.org/officeDocument/2006/relationships" name="2 · Selección variables" sheetId="2" state="visible" r:id="rId2"/>
    <sheet xmlns:r="http://schemas.openxmlformats.org/officeDocument/2006/relationships" name="3 · Comparación modelos" sheetId="3" state="visible" r:id="rId3"/>
    <sheet xmlns:r="http://schemas.openxmlformats.org/officeDocument/2006/relationships" name="4 · Umbral operativo" sheetId="4" state="visible" r:id="rId4"/>
    <sheet xmlns:r="http://schemas.openxmlformats.org/officeDocument/2006/relationships" name="5 · Diagnóstico error" sheetId="5" state="visible" r:id="rId5"/>
    <sheet xmlns:r="http://schemas.openxmlformats.org/officeDocument/2006/relationships" name="6 · Errores corregidos" sheetId="6" state="visible" r:id="rId6"/>
    <sheet xmlns:r="http://schemas.openxmlformats.org/officeDocument/2006/relationships" name="7 · Cronología" sheetId="7" state="visible" r:id="rId7"/>
    <sheet xmlns:r="http://schemas.openxmlformats.org/officeDocument/2006/relationships" name="8 · FCBI 3 programas" sheetId="8" state="visible" r:id="rId8"/>
    <sheet xmlns:r="http://schemas.openxmlformats.org/officeDocument/2006/relationships" name="9 · PCA y selección" sheetId="9" state="visible" r:id="rId9"/>
    <sheet xmlns:r="http://schemas.openxmlformats.org/officeDocument/2006/relationships" name="10 · Modelos bayesianos" sheetId="10" state="visible" r:id="rId10"/>
    <sheet xmlns:r="http://schemas.openxmlformats.org/officeDocument/2006/relationships" name="11 · Pocos datos y tamaño" sheetId="11" state="visible" r:id="rId11"/>
  </sheets>
  <definedNames/>
  <calcPr calcId="124519" fullCalcOnLoad="1"/>
</workbook>
</file>

<file path=xl/styles.xml><?xml version="1.0" encoding="utf-8"?>
<styleSheet xmlns="http://schemas.openxmlformats.org/spreadsheetml/2006/main">
  <numFmts count="7">
    <numFmt numFmtId="164" formatCode="0.0000"/>
    <numFmt numFmtId="165" formatCode="0.00&quot;x&quot;"/>
    <numFmt numFmtId="166" formatCode="+0.0000;-0.0000"/>
    <numFmt numFmtId="167" formatCode="0.000"/>
    <numFmt numFmtId="168" formatCode="+0.000;-0.000"/>
    <numFmt numFmtId="169" formatCode="0.0%"/>
    <numFmt numFmtId="170" formatCode="0.0"/>
  </numFmts>
  <fonts count="8">
    <font>
      <name val="Calibri"/>
      <family val="2"/>
      <color theme="1"/>
      <sz val="11"/>
      <scheme val="minor"/>
    </font>
    <font>
      <name val="Arial"/>
      <b val="1"/>
      <color rgb="00FFFFFF"/>
      <sz val="14"/>
    </font>
    <font>
      <name val="Arial"/>
      <i val="1"/>
      <sz val="10"/>
    </font>
    <font>
      <name val="Arial"/>
      <b val="1"/>
      <color rgb="001B6CA8"/>
      <sz val="11"/>
    </font>
    <font>
      <name val="Arial"/>
      <b val="1"/>
      <color rgb="00FFFFFF"/>
      <sz val="10"/>
    </font>
    <font>
      <name val="Arial"/>
      <sz val="10"/>
    </font>
    <font>
      <name val="Arial"/>
      <i val="1"/>
      <sz val="9"/>
    </font>
    <font>
      <name val="Arial"/>
      <b val="1"/>
      <sz val="10"/>
    </font>
  </fonts>
  <fills count="8">
    <fill>
      <patternFill/>
    </fill>
    <fill>
      <patternFill patternType="gray125"/>
    </fill>
    <fill>
      <patternFill patternType="solid">
        <fgColor rgb="001B6CA8"/>
      </patternFill>
    </fill>
    <fill>
      <patternFill patternType="solid">
        <fgColor rgb="0034495E"/>
      </patternFill>
    </fill>
    <fill>
      <patternFill patternType="solid">
        <fgColor rgb="00F0F4F8"/>
      </patternFill>
    </fill>
    <fill>
      <patternFill patternType="solid">
        <fgColor rgb="00FFF2CC"/>
      </patternFill>
    </fill>
    <fill>
      <patternFill patternType="solid">
        <fgColor rgb="00D5F5E3"/>
      </patternFill>
    </fill>
    <fill>
      <patternFill patternType="solid">
        <fgColor rgb="00FDEDEC"/>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xf>
    <xf numFmtId="0" fontId="5" fillId="0" borderId="1" pivotButton="0" quotePrefix="0" xfId="0"/>
    <xf numFmtId="0" fontId="5" fillId="4" borderId="1" pivotButton="0" quotePrefix="0" xfId="0"/>
    <xf numFmtId="0" fontId="6" fillId="5" borderId="0" applyAlignment="1" pivotButton="0" quotePrefix="0" xfId="0">
      <alignment vertical="top" wrapText="1"/>
    </xf>
    <xf numFmtId="164" fontId="5" fillId="0" borderId="1" pivotButton="0" quotePrefix="0" xfId="0"/>
    <xf numFmtId="0" fontId="7" fillId="6" borderId="1" pivotButton="0" quotePrefix="0" xfId="0"/>
    <xf numFmtId="164" fontId="7" fillId="6" borderId="1" pivotButton="0" quotePrefix="0" xfId="0"/>
    <xf numFmtId="164" fontId="5" fillId="4" borderId="1" pivotButton="0" quotePrefix="0" xfId="0"/>
    <xf numFmtId="0" fontId="6" fillId="0" borderId="0" applyAlignment="1" pivotButton="0" quotePrefix="0" xfId="0">
      <alignment vertical="top" wrapText="1"/>
    </xf>
    <xf numFmtId="0" fontId="7" fillId="0" borderId="0" pivotButton="0" quotePrefix="0" xfId="0"/>
    <xf numFmtId="164" fontId="7" fillId="7" borderId="0" pivotButton="0" quotePrefix="0" xfId="0"/>
    <xf numFmtId="0" fontId="6" fillId="7" borderId="0" applyAlignment="1" pivotButton="0" quotePrefix="0" xfId="0">
      <alignment vertical="top" wrapText="1"/>
    </xf>
    <xf numFmtId="9" fontId="5" fillId="0" borderId="1" pivotButton="0" quotePrefix="0" xfId="0"/>
    <xf numFmtId="9" fontId="5" fillId="4" borderId="1" pivotButton="0" quotePrefix="0" xfId="0"/>
    <xf numFmtId="2" fontId="5" fillId="0" borderId="1" pivotButton="0" quotePrefix="0" xfId="0"/>
    <xf numFmtId="2" fontId="5" fillId="4" borderId="1" pivotButton="0" quotePrefix="0" xfId="0"/>
    <xf numFmtId="165" fontId="5" fillId="6" borderId="1" pivotButton="0" quotePrefix="0" xfId="0"/>
    <xf numFmtId="165" fontId="5" fillId="4" borderId="1" pivotButton="0" quotePrefix="0" xfId="0"/>
    <xf numFmtId="165" fontId="5" fillId="0" borderId="1" pivotButton="0" quotePrefix="0" xfId="0"/>
    <xf numFmtId="0" fontId="6" fillId="6" borderId="0" applyAlignment="1" pivotButton="0" quotePrefix="0" xfId="0">
      <alignment vertical="top" wrapText="1"/>
    </xf>
    <xf numFmtId="166" fontId="5" fillId="0" borderId="1" pivotButton="0" quotePrefix="0" xfId="0"/>
    <xf numFmtId="166" fontId="5" fillId="4" borderId="1" pivotButton="0" quotePrefix="0" xfId="0"/>
    <xf numFmtId="167" fontId="5" fillId="0" borderId="1" pivotButton="0" quotePrefix="0" xfId="0"/>
    <xf numFmtId="168" fontId="7" fillId="0" borderId="1" pivotButton="0" quotePrefix="0" xfId="0"/>
    <xf numFmtId="167" fontId="5" fillId="4" borderId="1" pivotButton="0" quotePrefix="0" xfId="0"/>
    <xf numFmtId="168" fontId="7" fillId="4" borderId="1" pivotButton="0" quotePrefix="0" xfId="0"/>
    <xf numFmtId="167" fontId="7" fillId="6" borderId="1" pivotButton="0" quotePrefix="0" xfId="0"/>
    <xf numFmtId="9" fontId="7" fillId="6" borderId="1" pivotButton="0" quotePrefix="0" xfId="0"/>
    <xf numFmtId="165" fontId="7" fillId="6" borderId="1" pivotButton="0" quotePrefix="0" xfId="0"/>
    <xf numFmtId="169" fontId="5" fillId="0" borderId="1" pivotButton="0" quotePrefix="0" xfId="0"/>
    <xf numFmtId="169" fontId="7" fillId="6" borderId="1" pivotButton="0" quotePrefix="0" xfId="0"/>
    <xf numFmtId="169" fontId="5" fillId="4" borderId="1" pivotButton="0" quotePrefix="0" xfId="0"/>
    <xf numFmtId="166" fontId="7" fillId="6" borderId="1" pivotButton="0" quotePrefix="0" xfId="0"/>
    <xf numFmtId="168" fontId="7" fillId="6" borderId="1" pivotButton="0" quotePrefix="0" xfId="0"/>
    <xf numFmtId="168" fontId="5" fillId="4" borderId="1" pivotButton="0" quotePrefix="0" xfId="0"/>
    <xf numFmtId="2" fontId="7" fillId="6" borderId="1" pivotButton="0" quotePrefix="0" xfId="0"/>
    <xf numFmtId="170" fontId="5" fillId="0" borderId="1" pivotButton="0" quotePrefix="0" xfId="0"/>
    <xf numFmtId="170" fontId="5" fillId="4" borderId="1" pivotButton="0" quotePrefix="0" xfId="0"/>
    <xf numFmtId="168"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26" customWidth="1" min="1" max="1"/>
    <col width="80" customWidth="1" min="2" max="2"/>
    <col width="22" customWidth="1" min="3" max="3"/>
  </cols>
  <sheetData>
    <row r="1" ht="24" customHeight="1">
      <c r="A1" s="1" t="inlineStr">
        <is>
          <t>CONSOLIDADO DE RESULTADOS — Modelo predictivo de trayectoria académica FCBI</t>
        </is>
      </c>
    </row>
    <row r="2">
      <c r="A2" s="2" t="inlineStr">
        <is>
          <t>Universidad de los Llanos · Ing. de Sistemas · Cohortes 2017-2 y 2018-1 · Corte: 2026-09-29</t>
        </is>
      </c>
    </row>
    <row r="4">
      <c r="A4" s="3" t="inlineStr">
        <is>
          <t>ESTADO ACTUAL DEL MODELO</t>
        </is>
      </c>
    </row>
    <row r="5">
      <c r="A5" s="4" t="inlineStr">
        <is>
          <t>Concepto</t>
        </is>
      </c>
      <c r="B5" s="4" t="inlineStr">
        <is>
          <t>Valor</t>
        </is>
      </c>
      <c r="C5" s="4" t="inlineStr">
        <is>
          <t>Fuente</t>
        </is>
      </c>
    </row>
    <row r="6">
      <c r="A6" s="5" t="inlineStr">
        <is>
          <t>Variable objetivo</t>
        </is>
      </c>
      <c r="B6" s="5" t="inlineStr">
        <is>
          <t>Bajo rendimiento — Art. 19 del Reglamento Estudiantil</t>
        </is>
      </c>
      <c r="C6" s="5" t="inlineStr">
        <is>
          <t>RC-017</t>
        </is>
      </c>
    </row>
    <row r="7">
      <c r="A7" s="6" t="inlineStr">
        <is>
          <t>Definición</t>
        </is>
      </c>
      <c r="B7" s="6" t="inlineStr">
        <is>
          <t>Reprobar 100% de créditos de un periodo regular Y promedio acumulado &lt; 3,0; O reprobar un curso por 4ª vez</t>
        </is>
      </c>
      <c r="C7" s="6" t="inlineStr">
        <is>
          <t>MARCO_NORMATIVO §3</t>
        </is>
      </c>
    </row>
    <row r="8">
      <c r="A8" s="5" t="inlineStr">
        <is>
          <t>Población</t>
        </is>
      </c>
      <c r="B8" s="5" t="inlineStr">
        <is>
          <t>n = 80 expuestos (de 90). Los 10 sin actividad no pueden activar el artículo</t>
        </is>
      </c>
      <c r="C8" s="5" t="inlineStr">
        <is>
          <t>RC-020</t>
        </is>
      </c>
    </row>
    <row r="9">
      <c r="A9" s="6" t="inlineStr">
        <is>
          <t>Positivos</t>
        </is>
      </c>
      <c r="B9" s="6" t="inlineStr">
        <is>
          <t>19 (23,8 %) — línea base AUC-PR = 0,2375</t>
        </is>
      </c>
      <c r="C9" s="6" t="inlineStr">
        <is>
          <t>RC-020</t>
        </is>
      </c>
    </row>
    <row r="10">
      <c r="A10" s="5" t="inlineStr">
        <is>
          <t>Variables</t>
        </is>
      </c>
      <c r="B10" s="5" t="inlineStr">
        <is>
          <t>6 (conjunto S3, solo académicas)</t>
        </is>
      </c>
      <c r="C10" s="5" t="inlineStr">
        <is>
          <t>RC-032</t>
        </is>
      </c>
    </row>
    <row r="11">
      <c r="A11" s="6" t="inlineStr">
        <is>
          <t>Modelo ganador</t>
        </is>
      </c>
      <c r="B11" s="6" t="inlineStr">
        <is>
          <t>Random Forest — AUC-PR 0,745 ± 0,025</t>
        </is>
      </c>
      <c r="C11" s="6" t="inlineStr">
        <is>
          <t>RC-033</t>
        </is>
      </c>
    </row>
    <row r="12">
      <c r="A12" s="5" t="inlineStr">
        <is>
          <t>Protocolo</t>
        </is>
      </c>
      <c r="B12" s="5" t="inlineStr">
        <is>
          <t>CV-5 × 10 repeticiones ANIDADA; rejillas equilibradas 16-24 combinaciones</t>
        </is>
      </c>
      <c r="C12" s="5" t="inlineStr">
        <is>
          <t>RC-021, RC-025</t>
        </is>
      </c>
    </row>
    <row r="13">
      <c r="A13" s="6" t="inlineStr">
        <is>
          <t>Criterio de umbral</t>
        </is>
      </c>
      <c r="B13" s="6" t="inlineStr">
        <is>
          <t>Máxima detección. La capacidad de atención la decide la universidad</t>
        </is>
      </c>
      <c r="C13" s="6" t="inlineStr">
        <is>
          <t>Decisión del estudiante</t>
        </is>
      </c>
    </row>
    <row r="15">
      <c r="A15" s="3" t="inlineStr">
        <is>
          <t>CÓMO LEER ESTE ARCHIVO</t>
        </is>
      </c>
    </row>
    <row r="16">
      <c r="A16" s="4" t="inlineStr">
        <is>
          <t>Hoja</t>
        </is>
      </c>
      <c r="B16" s="4" t="inlineStr">
        <is>
          <t>Qué responde</t>
        </is>
      </c>
      <c r="C16" s="4" t="inlineStr"/>
    </row>
    <row r="17">
      <c r="A17" s="5" t="inlineStr">
        <is>
          <t>2 · Selección variables</t>
        </is>
      </c>
      <c r="B17" s="5" t="inlineStr">
        <is>
          <t>Por qué se pasó de 19 a 6 variables. Incluye el sesgo de selección medido (+0,150)</t>
        </is>
      </c>
      <c r="C17" s="5" t="inlineStr"/>
    </row>
    <row r="18">
      <c r="A18" s="6" t="inlineStr">
        <is>
          <t>3 · Comparación modelos</t>
        </is>
      </c>
      <c r="B18" s="6" t="inlineStr">
        <is>
          <t>Los 5 algoritmos, antes y después de corregir el protocolo</t>
        </is>
      </c>
      <c r="C18" s="6" t="inlineStr"/>
    </row>
    <row r="19">
      <c r="A19" s="5" t="inlineStr">
        <is>
          <t>4 · Umbral operativo</t>
        </is>
      </c>
      <c r="B19" s="5" t="inlineStr">
        <is>
          <t>Cuántos estudiantes detecta el modelo según el umbral elegido</t>
        </is>
      </c>
      <c r="C19" s="5" t="inlineStr"/>
    </row>
    <row r="20">
      <c r="A20" s="6" t="inlineStr">
        <is>
          <t>5 · Diagnóstico error</t>
        </is>
      </c>
      <c r="B20" s="6" t="inlineStr">
        <is>
          <t>¿Sobreajuste? ¿Faltan datos? Curva de aprendizaje y bootstrap</t>
        </is>
      </c>
      <c r="C20" s="6" t="inlineStr"/>
    </row>
    <row r="21">
      <c r="A21" s="5" t="inlineStr">
        <is>
          <t>6 · Errores corregidos</t>
        </is>
      </c>
      <c r="B21" s="5" t="inlineStr">
        <is>
          <t>Las tres fugas de información y su magnitud</t>
        </is>
      </c>
      <c r="C21" s="5" t="inlineStr"/>
    </row>
    <row r="22">
      <c r="A22" s="6" t="inlineStr">
        <is>
          <t>9 · PCA y selección</t>
        </is>
      </c>
      <c r="B22" s="6" t="inlineStr">
        <is>
          <t>Encargo del asesor: ¿respalda el PCA la selección de variables?</t>
        </is>
      </c>
      <c r="C22" s="6" t="inlineStr">
        <is>
          <t>2026-09-29</t>
        </is>
      </c>
    </row>
    <row r="23">
      <c r="A23" s="5" t="inlineStr">
        <is>
          <t>10 · Modelos bayesianos</t>
        </is>
      </c>
      <c r="B23" s="5" t="inlineStr">
        <is>
          <t>Encargo del asesor: Naive Bayes, logística bayesiana y proceso gaussiano</t>
        </is>
      </c>
      <c r="C23" s="5" t="inlineStr">
        <is>
          <t>2026-09-29</t>
        </is>
      </c>
    </row>
    <row r="24">
      <c r="A24" s="6" t="inlineStr">
        <is>
          <t>11 · Pocos datos y tamaño</t>
        </is>
      </c>
      <c r="B24" s="6" t="inlineStr">
        <is>
          <t>Encargo del asesor: few-shot y cuánto aportarán las cohortes nuevas</t>
        </is>
      </c>
      <c r="C24" s="6" t="inlineStr">
        <is>
          <t>2026-09-29</t>
        </is>
      </c>
    </row>
    <row r="25">
      <c r="A25" s="5" t="inlineStr">
        <is>
          <t>7 · Cronología</t>
        </is>
      </c>
      <c r="B25" s="5" t="inlineStr">
        <is>
          <t>Todas las decisiones con su registro RC</t>
        </is>
      </c>
      <c r="C25" s="5" t="inlineStr"/>
    </row>
    <row r="27" ht="32" customHeight="1">
      <c r="A27" s="7" t="inlineStr">
        <is>
          <t>⚠ AUC-PR se compara contra la línea base 0,2375 (prevalencia), NO contra 0,5. Un AUC-PR de 0,745 equivale a 3,1 veces el azar.</t>
        </is>
      </c>
    </row>
  </sheetData>
  <mergeCells count="2">
    <mergeCell ref="A1:F1"/>
    <mergeCell ref="A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10" customWidth="1" min="3" max="3"/>
    <col width="46" customWidth="1" min="4" max="4"/>
    <col width="9" customWidth="1" min="5" max="5"/>
    <col width="26" customWidth="1" min="6" max="6"/>
  </cols>
  <sheetData>
    <row r="1" ht="24" customHeight="1">
      <c r="A1" s="1" t="inlineStr">
        <is>
          <t>SELECCIÓN DE VARIABLES — ¿hacen falta 19 o bastan 6?</t>
        </is>
      </c>
    </row>
    <row r="3">
      <c r="A3" s="3" t="inlineStr">
        <is>
          <t>A · Ablación de subconjuntos definidos a priori</t>
        </is>
      </c>
    </row>
    <row r="4">
      <c r="A4" s="4" t="inlineStr">
        <is>
          <t>Subconjunto</t>
        </is>
      </c>
      <c r="B4" s="4" t="inlineStr">
        <is>
          <t>N vars</t>
        </is>
      </c>
      <c r="C4" s="4" t="inlineStr">
        <is>
          <t>Tipo</t>
        </is>
      </c>
      <c r="D4" s="4" t="inlineStr">
        <is>
          <t>AUC-PR</t>
        </is>
      </c>
      <c r="E4" s="4" t="inlineStr">
        <is>
          <t>sd</t>
        </is>
      </c>
      <c r="F4" s="4" t="inlineStr">
        <is>
          <t>Veredicto vs. completo</t>
        </is>
      </c>
    </row>
    <row r="5">
      <c r="A5" s="5" t="inlineStr">
        <is>
          <t>Set completo</t>
        </is>
      </c>
      <c r="B5" s="5" t="n">
        <v>19</v>
      </c>
      <c r="C5" s="5" t="inlineStr">
        <is>
          <t>a priori</t>
        </is>
      </c>
      <c r="D5" s="8" t="n">
        <v>0.7201</v>
      </c>
      <c r="E5" s="8" t="n">
        <v>0.0468</v>
      </c>
      <c r="F5" s="5" t="inlineStr">
        <is>
          <t>referencia</t>
        </is>
      </c>
    </row>
    <row r="6">
      <c r="A6" s="9" t="inlineStr">
        <is>
          <t>S3 · solo académicas</t>
        </is>
      </c>
      <c r="B6" s="9" t="n">
        <v>6</v>
      </c>
      <c r="C6" s="9" t="inlineStr">
        <is>
          <t>a priori</t>
        </is>
      </c>
      <c r="D6" s="10" t="n">
        <v>0.7196</v>
      </c>
      <c r="E6" s="10" t="n">
        <v>0.0462</v>
      </c>
      <c r="F6" s="9" t="inlineStr">
        <is>
          <t>EMPATE (p=0,983)</t>
        </is>
      </c>
    </row>
    <row r="7">
      <c r="A7" s="5" t="inlineStr">
        <is>
          <t>S5 · sin redundancias</t>
        </is>
      </c>
      <c r="B7" s="5" t="n">
        <v>17</v>
      </c>
      <c r="C7" s="5" t="inlineStr">
        <is>
          <t>a priori</t>
        </is>
      </c>
      <c r="D7" s="8" t="n">
        <v>0.726</v>
      </c>
      <c r="E7" s="8" t="n">
        <v>0.021</v>
      </c>
      <c r="F7" s="5" t="inlineStr">
        <is>
          <t>EMPATE (p=0,532)</t>
        </is>
      </c>
    </row>
    <row r="8">
      <c r="A8" s="6" t="inlineStr">
        <is>
          <t>S7 · solo prom_sem1</t>
        </is>
      </c>
      <c r="B8" s="6" t="n">
        <v>1</v>
      </c>
      <c r="C8" s="6" t="inlineStr">
        <is>
          <t>a priori</t>
        </is>
      </c>
      <c r="D8" s="11" t="n">
        <v>0.611</v>
      </c>
      <c r="E8" s="11" t="n">
        <v>0.019</v>
      </c>
      <c r="F8" s="6" t="inlineStr">
        <is>
          <t>Peor</t>
        </is>
      </c>
    </row>
    <row r="9">
      <c r="A9" s="5" t="inlineStr">
        <is>
          <t>S1 · sin primer semestre</t>
        </is>
      </c>
      <c r="B9" s="5" t="n">
        <v>17</v>
      </c>
      <c r="C9" s="5" t="inlineStr">
        <is>
          <t>a priori</t>
        </is>
      </c>
      <c r="D9" s="8" t="n">
        <v>0.442</v>
      </c>
      <c r="E9" s="8" t="n">
        <v>0.041</v>
      </c>
      <c r="F9" s="5" t="inlineStr">
        <is>
          <t>Peor</t>
        </is>
      </c>
    </row>
    <row r="10">
      <c r="A10" s="6" t="inlineStr">
        <is>
          <t>S4 · solo socioeconómicas</t>
        </is>
      </c>
      <c r="B10" s="6" t="n">
        <v>11</v>
      </c>
      <c r="C10" s="6" t="inlineStr">
        <is>
          <t>a priori</t>
        </is>
      </c>
      <c r="D10" s="11" t="n">
        <v>0.344</v>
      </c>
      <c r="E10" s="11" t="n">
        <v>0.034</v>
      </c>
      <c r="F10" s="6" t="inlineStr">
        <is>
          <t>Muy inferior</t>
        </is>
      </c>
    </row>
    <row r="12" ht="32" customHeight="1">
      <c r="A12" s="12" t="inlineStr">
        <is>
          <t>CONCLUSIÓN: 6 variables rinden igual que 19 (Δ = −0,0005; p = 0,983). Las socioeconómicas por sí solas apenas superan el azar (0,344 frente a 0,2375).</t>
        </is>
      </c>
    </row>
    <row r="14">
      <c r="A14" s="3" t="inlineStr">
        <is>
          <t>B · El sesgo de selección — por qué NO se adoptó el "top-5"</t>
        </is>
      </c>
    </row>
    <row r="15">
      <c r="A15" s="4" t="inlineStr">
        <is>
          <t>Conjunto</t>
        </is>
      </c>
      <c r="B15" s="4" t="inlineStr">
        <is>
          <t>Tipo de selección</t>
        </is>
      </c>
      <c r="C15" s="4" t="inlineStr">
        <is>
          <t>AUC-PR</t>
        </is>
      </c>
      <c r="D15" s="4" t="inlineStr">
        <is>
          <t>Lectura</t>
        </is>
      </c>
    </row>
    <row r="16">
      <c r="A16" s="5" t="inlineStr">
        <is>
          <t>Set completo (19)</t>
        </is>
      </c>
      <c r="B16" s="5" t="inlineStr">
        <is>
          <t>a priori</t>
        </is>
      </c>
      <c r="C16" s="8" t="n">
        <v>0.7201</v>
      </c>
      <c r="D16" s="5" t="inlineStr">
        <is>
          <t>—</t>
        </is>
      </c>
    </row>
    <row r="17">
      <c r="A17" s="6" t="inlineStr">
        <is>
          <t>S3 · académicas (6)</t>
        </is>
      </c>
      <c r="B17" s="6" t="inlineStr">
        <is>
          <t>a priori</t>
        </is>
      </c>
      <c r="C17" s="11" t="n">
        <v>0.7196</v>
      </c>
      <c r="D17" s="6" t="inlineStr">
        <is>
          <t>Empata con el completo</t>
        </is>
      </c>
    </row>
    <row r="18">
      <c r="A18" s="5" t="inlineStr">
        <is>
          <t>top-5 CONTAMINADO</t>
        </is>
      </c>
      <c r="B18" s="5" t="inlineStr">
        <is>
          <t>elegido viendo TODOS los datos</t>
        </is>
      </c>
      <c r="C18" s="8" t="n">
        <v>0.8204</v>
      </c>
      <c r="D18" s="5" t="inlineStr">
        <is>
          <t>⚠ INFLADO — no usar</t>
        </is>
      </c>
    </row>
    <row r="19">
      <c r="A19" s="6" t="inlineStr">
        <is>
          <t>top-5 ANIDADO</t>
        </is>
      </c>
      <c r="B19" s="6" t="inlineStr">
        <is>
          <t>elegido dentro de cada pliegue</t>
        </is>
      </c>
      <c r="C19" s="11" t="n">
        <v>0.6705</v>
      </c>
      <c r="D19" s="6" t="inlineStr">
        <is>
          <t>Honesto: peor que S3</t>
        </is>
      </c>
    </row>
    <row r="20">
      <c r="A20" s="13" t="inlineStr">
        <is>
          <t>SESGO MEDIDO =</t>
        </is>
      </c>
      <c r="C20" s="14">
        <f>0.8204-0.6705</f>
        <v/>
      </c>
      <c r="D20" s="13" t="inlineStr">
        <is>
          <t>5 veces el umbral de relevancia (0,03)</t>
        </is>
      </c>
    </row>
    <row r="22" ht="32" customHeight="1">
      <c r="A22" s="15" t="inlineStr">
        <is>
          <t>Elegir las mejores variables mirando toda la muestra y evaluar sobre esa misma muestra infló el resultado en 0,150 de AUC-PR — más que la diferencia entre el mejor y el peor algoritmo. Habría llevado a adoptar un conjunto PEOR creyéndolo mejor.</t>
        </is>
      </c>
    </row>
    <row r="24">
      <c r="A24" s="3" t="inlineStr">
        <is>
          <t>C · Importancia por permutación (caída de AUC-PR al barajar la variable)</t>
        </is>
      </c>
    </row>
    <row r="25">
      <c r="A25" s="4" t="inlineStr">
        <is>
          <t>Variable</t>
        </is>
      </c>
      <c r="B25" s="4" t="inlineStr">
        <is>
          <t>Caída AUC-PR</t>
        </is>
      </c>
      <c r="C25" s="4" t="inlineStr">
        <is>
          <t>Fiabilidad (% pliegues +)</t>
        </is>
      </c>
      <c r="D25" s="4" t="inlineStr">
        <is>
          <t>Importancia MDI (engañosa)</t>
        </is>
      </c>
    </row>
    <row r="26">
      <c r="A26" s="5" t="inlineStr">
        <is>
          <t>prom_sem1</t>
        </is>
      </c>
      <c r="B26" s="8" t="n">
        <v>0.3028453938037271</v>
      </c>
      <c r="C26" s="16" t="n">
        <v>0.92</v>
      </c>
      <c r="D26" s="8" t="n">
        <v>0.264111139026994</v>
      </c>
    </row>
    <row r="27">
      <c r="A27" s="6" t="inlineStr">
        <is>
          <t>icfes_total</t>
        </is>
      </c>
      <c r="B27" s="11" t="n">
        <v>0.042865124381791</v>
      </c>
      <c r="C27" s="17" t="n">
        <v>0.8</v>
      </c>
      <c r="D27" s="11" t="n">
        <v>0.1372749827450446</v>
      </c>
    </row>
    <row r="28">
      <c r="A28" s="5" t="inlineStr">
        <is>
          <t>icfes_mat</t>
        </is>
      </c>
      <c r="B28" s="8" t="n">
        <v>0.0264038615705282</v>
      </c>
      <c r="C28" s="16" t="n">
        <v>0.68</v>
      </c>
      <c r="D28" s="8" t="n">
        <v>0.0818150435512599</v>
      </c>
    </row>
    <row r="29">
      <c r="A29" s="6" t="inlineStr">
        <is>
          <t>sisben_nivel</t>
        </is>
      </c>
      <c r="B29" s="11" t="n">
        <v>0.0190440288106954</v>
      </c>
      <c r="C29" s="17" t="n">
        <v>0.64</v>
      </c>
      <c r="D29" s="11" t="n">
        <v>0.0451094557041663</v>
      </c>
    </row>
    <row r="30">
      <c r="A30" s="5" t="inlineStr">
        <is>
          <t>cohorte_encoded</t>
        </is>
      </c>
      <c r="B30" s="8" t="n">
        <v>0.0182973967390633</v>
      </c>
      <c r="C30" s="16" t="n">
        <v>0.76</v>
      </c>
      <c r="D30" s="8" t="n">
        <v>0.0240328537118024</v>
      </c>
    </row>
    <row r="31">
      <c r="A31" s="6" t="inlineStr">
        <is>
          <t>estrato</t>
        </is>
      </c>
      <c r="B31" s="11" t="n">
        <v>0.0066820941404274</v>
      </c>
      <c r="C31" s="17" t="n">
        <v>0.6</v>
      </c>
      <c r="D31" s="11" t="n">
        <v>0.0311315439253748</v>
      </c>
    </row>
    <row r="32">
      <c r="A32" s="5" t="inlineStr">
        <is>
          <t>repitio_escolar</t>
        </is>
      </c>
      <c r="B32" s="8" t="n">
        <v>0.006460252401919</v>
      </c>
      <c r="C32" s="16" t="n">
        <v>0.48</v>
      </c>
      <c r="D32" s="8" t="n">
        <v>0.0372922962779458</v>
      </c>
    </row>
    <row r="33">
      <c r="A33" s="6" t="inlineStr">
        <is>
          <t>nivel_edu_max_padres</t>
        </is>
      </c>
      <c r="B33" s="11" t="n">
        <v>0.0059290104956771</v>
      </c>
      <c r="C33" s="17" t="n">
        <v>0.52</v>
      </c>
      <c r="D33" s="11" t="n">
        <v>0.0429590266396531</v>
      </c>
    </row>
    <row r="34">
      <c r="A34" s="5" t="inlineStr">
        <is>
          <t>sexo</t>
        </is>
      </c>
      <c r="B34" s="8" t="n">
        <v>0.0029839567839567</v>
      </c>
      <c r="C34" s="16" t="n">
        <v>0.28</v>
      </c>
      <c r="D34" s="8" t="n">
        <v>0.0076231003380337</v>
      </c>
    </row>
    <row r="35">
      <c r="A35" s="6" t="inlineStr">
        <is>
          <t>situacion_padres</t>
        </is>
      </c>
      <c r="B35" s="11" t="n">
        <v>0.0025939526522859</v>
      </c>
      <c r="C35" s="17" t="n">
        <v>0.52</v>
      </c>
      <c r="D35" s="11" t="n">
        <v>0.0167280597444774</v>
      </c>
    </row>
    <row r="36">
      <c r="A36" s="5" t="inlineStr">
        <is>
          <t>zona_rural</t>
        </is>
      </c>
      <c r="B36" s="8" t="n">
        <v>-0.0005569504569504</v>
      </c>
      <c r="C36" s="16" t="n">
        <v>0.2</v>
      </c>
      <c r="D36" s="8" t="n">
        <v>0.008605610415550099</v>
      </c>
    </row>
    <row r="37">
      <c r="A37" s="6" t="inlineStr">
        <is>
          <t>log_ingresos</t>
        </is>
      </c>
      <c r="B37" s="11" t="n">
        <v>-0.0009128359295026</v>
      </c>
      <c r="C37" s="17" t="n">
        <v>0.36</v>
      </c>
      <c r="D37" s="11" t="n">
        <v>0.0807324530533674</v>
      </c>
    </row>
    <row r="39" ht="32" customHeight="1">
      <c r="A39" s="7" t="inlineStr">
        <is>
          <t>⚠ La importancia MDI NO mide poder predictivo. Prueba: al inyectar 2 columnas de ruido aleatorio puro capturaron el 14,3 % de la importancia MDI, una de ellas por encima de 13 variables reales. nivel_edu_madre tiene 7,6 % de MDI pero RESTA capacidad predictiva (−0,007).</t>
        </is>
      </c>
    </row>
    <row r="41">
      <c r="A41" s="3" t="inlineStr">
        <is>
          <t>D · Redundancia estructural (VIF)</t>
        </is>
      </c>
    </row>
    <row r="42">
      <c r="A42" s="4" t="inlineStr">
        <is>
          <t>Variable</t>
        </is>
      </c>
      <c r="B42" s="4" t="inlineStr">
        <is>
          <t>R² vs. resto</t>
        </is>
      </c>
      <c r="C42" s="4" t="inlineStr">
        <is>
          <t>VIF</t>
        </is>
      </c>
      <c r="D42" s="4" t="inlineStr">
        <is>
          <t>Diagnóstico</t>
        </is>
      </c>
    </row>
    <row r="43">
      <c r="A43" s="5" t="inlineStr">
        <is>
          <t>icfes_total</t>
        </is>
      </c>
      <c r="B43" s="8" t="n">
        <v>0.8888</v>
      </c>
      <c r="C43" s="18" t="n">
        <v>9</v>
      </c>
      <c r="D43" s="5" t="inlineStr">
        <is>
          <t>Suma determinista de componentes incluidas</t>
        </is>
      </c>
    </row>
    <row r="44">
      <c r="A44" s="6" t="inlineStr">
        <is>
          <t>nivel_edu_max_padres</t>
        </is>
      </c>
      <c r="B44" s="11" t="n">
        <v>0.8693</v>
      </c>
      <c r="C44" s="19" t="n">
        <v>7.65</v>
      </c>
      <c r="D44" s="6" t="inlineStr">
        <is>
          <t>max(nivel_edu_padre, nivel_edu_madre)</t>
        </is>
      </c>
    </row>
    <row r="45">
      <c r="A45" s="5" t="inlineStr">
        <is>
          <t>nivel_edu_madre</t>
        </is>
      </c>
      <c r="B45" s="8" t="n">
        <v>0.8300999999999999</v>
      </c>
      <c r="C45" s="18" t="n">
        <v>5.88</v>
      </c>
      <c r="D45" s="5" t="inlineStr">
        <is>
          <t>Colinealidad moderada</t>
        </is>
      </c>
    </row>
    <row r="46">
      <c r="A46" s="6" t="inlineStr">
        <is>
          <t>icfes_lec</t>
        </is>
      </c>
      <c r="B46" s="11" t="n">
        <v>0.6786</v>
      </c>
      <c r="C46" s="19" t="n">
        <v>3.11</v>
      </c>
      <c r="D46" s="6" t="inlineStr">
        <is>
          <t>Aceptable</t>
        </is>
      </c>
    </row>
    <row r="47">
      <c r="A47" s="5" t="inlineStr">
        <is>
          <t>icfes_nat</t>
        </is>
      </c>
      <c r="B47" s="8" t="n">
        <v>0.6724</v>
      </c>
      <c r="C47" s="18" t="n">
        <v>3.05</v>
      </c>
      <c r="D47" s="5" t="inlineStr">
        <is>
          <t>Aceptable</t>
        </is>
      </c>
    </row>
    <row r="48">
      <c r="A48" s="6" t="inlineStr">
        <is>
          <t>icfes_mat</t>
        </is>
      </c>
      <c r="B48" s="11" t="n">
        <v>0.6388</v>
      </c>
      <c r="C48" s="19" t="n">
        <v>2.77</v>
      </c>
      <c r="D48" s="6" t="inlineStr">
        <is>
          <t>Aceptable</t>
        </is>
      </c>
    </row>
    <row r="50">
      <c r="A50" s="3" t="inlineStr">
        <is>
          <t>E · Estabilidad de la selección (frecuencia en el top-5 entre 40 pliegues)</t>
        </is>
      </c>
    </row>
    <row r="51">
      <c r="A51" s="4" t="inlineStr">
        <is>
          <t>Variable</t>
        </is>
      </c>
      <c r="B51" s="4" t="inlineStr">
        <is>
          <t>Frecuencia</t>
        </is>
      </c>
    </row>
    <row r="52">
      <c r="A52" s="5" t="inlineStr">
        <is>
          <t>prom_sem1</t>
        </is>
      </c>
      <c r="B52" s="16" t="n">
        <v>1</v>
      </c>
    </row>
    <row r="53">
      <c r="A53" s="6" t="inlineStr">
        <is>
          <t>icfes_total</t>
        </is>
      </c>
      <c r="B53" s="17" t="n">
        <v>0.75</v>
      </c>
    </row>
    <row r="54">
      <c r="A54" s="5" t="inlineStr">
        <is>
          <t>icfes_mat</t>
        </is>
      </c>
      <c r="B54" s="16" t="n">
        <v>0.6</v>
      </c>
    </row>
    <row r="55">
      <c r="A55" s="6" t="inlineStr">
        <is>
          <t>log_ingresos</t>
        </is>
      </c>
      <c r="B55" s="17" t="n">
        <v>0.55</v>
      </c>
    </row>
    <row r="56">
      <c r="A56" s="5" t="inlineStr">
        <is>
          <t>nivel_edu_padre</t>
        </is>
      </c>
      <c r="B56" s="16" t="n">
        <v>0.52</v>
      </c>
    </row>
    <row r="57">
      <c r="A57" s="6" t="inlineStr">
        <is>
          <t>sin_primer_semestre</t>
        </is>
      </c>
      <c r="B57" s="17" t="n">
        <v>0.3</v>
      </c>
    </row>
    <row r="58">
      <c r="A58" s="5" t="inlineStr">
        <is>
          <t>icfes_nat</t>
        </is>
      </c>
      <c r="B58" s="16" t="n">
        <v>0.28</v>
      </c>
    </row>
    <row r="59">
      <c r="A59" s="6" t="inlineStr">
        <is>
          <t>sisben_nivel</t>
        </is>
      </c>
      <c r="B59" s="17" t="n">
        <v>0.25</v>
      </c>
    </row>
    <row r="61" ht="32" customHeight="1">
      <c r="A61" s="12" t="inlineStr">
        <is>
          <t>Solo prom_sem1 se elige el 100 % de las veces. Desde la 3ª posición la selección es casi azar: con 19 positivos, el ranking de importancia más allá del top-2/3 es RUIDO.</t>
        </is>
      </c>
    </row>
  </sheetData>
  <mergeCells count="5">
    <mergeCell ref="A61:G61"/>
    <mergeCell ref="A1:G1"/>
    <mergeCell ref="A22:G22"/>
    <mergeCell ref="A39:G39"/>
    <mergeCell ref="A12:G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showGridLines="0" workbookViewId="0">
      <pane ySplit="2" topLeftCell="A3" activePane="bottomLeft" state="frozen"/>
      <selection pane="bottomLeft" activeCell="A1" sqref="A1"/>
    </sheetView>
  </sheetViews>
  <sheetFormatPr baseColWidth="8" defaultRowHeight="15"/>
  <cols>
    <col width="26" customWidth="1" min="1" max="1"/>
    <col width="22" customWidth="1" min="2" max="2"/>
    <col width="24" customWidth="1" min="3" max="3"/>
    <col width="11" customWidth="1" min="4" max="4"/>
    <col width="40" customWidth="1" min="5" max="5"/>
    <col width="18" customWidth="1" min="6" max="6"/>
  </cols>
  <sheetData>
    <row r="1" ht="24" customHeight="1">
      <c r="A1" s="1" t="inlineStr">
        <is>
          <t>COMPARACIÓN DE ALGORITMOS — resultado definitivo (I-3 bis)</t>
        </is>
      </c>
    </row>
    <row r="3">
      <c r="A3" s="3" t="inlineStr">
        <is>
          <t>A · Resultado vigente · 6 variables (S3) · CV-5 × 10 anidada · rejillas equilibradas</t>
        </is>
      </c>
    </row>
    <row r="4">
      <c r="A4" s="4" t="inlineStr">
        <is>
          <t>Algoritmo</t>
        </is>
      </c>
      <c r="B4" s="4" t="inlineStr">
        <is>
          <t>AUC-PR</t>
        </is>
      </c>
      <c r="C4" s="4" t="inlineStr">
        <is>
          <t>sd</t>
        </is>
      </c>
      <c r="D4" s="4" t="inlineStr">
        <is>
          <t>IC 95 % inf</t>
        </is>
      </c>
      <c r="E4" s="4" t="inlineStr">
        <is>
          <t>IC 95 % sup</t>
        </is>
      </c>
      <c r="F4" s="4" t="inlineStr">
        <is>
          <t>Veces sobre el azar</t>
        </is>
      </c>
    </row>
    <row r="5">
      <c r="A5" s="9" t="inlineStr">
        <is>
          <t>Random Forest</t>
        </is>
      </c>
      <c r="B5" s="10" t="n">
        <v>0.7451</v>
      </c>
      <c r="C5" s="10" t="n">
        <v>0.0252</v>
      </c>
      <c r="D5" s="10" t="n">
        <v>0.7030999999999999</v>
      </c>
      <c r="E5" s="10" t="n">
        <v>0.783</v>
      </c>
      <c r="F5" s="20">
        <f>B5/0.2375</f>
        <v/>
      </c>
    </row>
    <row r="6">
      <c r="A6" s="6" t="inlineStr">
        <is>
          <t>SVM (RBF)</t>
        </is>
      </c>
      <c r="B6" s="11" t="n">
        <v>0.7136</v>
      </c>
      <c r="C6" s="11" t="n">
        <v>0.0368</v>
      </c>
      <c r="D6" s="11" t="n">
        <v>0.637</v>
      </c>
      <c r="E6" s="11" t="n">
        <v>0.7504</v>
      </c>
      <c r="F6" s="21">
        <f>B6/0.2375</f>
        <v/>
      </c>
    </row>
    <row r="7">
      <c r="A7" s="5" t="inlineStr">
        <is>
          <t>XGBoost</t>
        </is>
      </c>
      <c r="B7" s="8" t="n">
        <v>0.6298</v>
      </c>
      <c r="C7" s="8" t="n">
        <v>0.0452</v>
      </c>
      <c r="D7" s="8" t="n">
        <v>0.5734</v>
      </c>
      <c r="E7" s="8" t="n">
        <v>0.7032</v>
      </c>
      <c r="F7" s="22">
        <f>B7/0.2375</f>
        <v/>
      </c>
    </row>
    <row r="8">
      <c r="A8" s="6" t="inlineStr">
        <is>
          <t>Árbol de Decisión</t>
        </is>
      </c>
      <c r="B8" s="11" t="n">
        <v>0.6143999999999999</v>
      </c>
      <c r="C8" s="11" t="n">
        <v>0.0549</v>
      </c>
      <c r="D8" s="11" t="n">
        <v>0.5164</v>
      </c>
      <c r="E8" s="11" t="n">
        <v>0.6929</v>
      </c>
      <c r="F8" s="21">
        <f>B8/0.2375</f>
        <v/>
      </c>
    </row>
    <row r="9">
      <c r="A9" s="5" t="inlineStr">
        <is>
          <t>Regresión Logística (L2)</t>
        </is>
      </c>
      <c r="B9" s="8" t="n">
        <v>0.5495</v>
      </c>
      <c r="C9" s="8" t="n">
        <v>0.0877</v>
      </c>
      <c r="D9" s="8" t="n">
        <v>0.4108</v>
      </c>
      <c r="E9" s="8" t="n">
        <v>0.6629</v>
      </c>
      <c r="F9" s="22">
        <f>B9/0.2375</f>
        <v/>
      </c>
    </row>
    <row r="11" ht="32" customHeight="1">
      <c r="A11" s="23" t="inlineStr">
        <is>
          <t>Random Forest gana POR LA REGLA PRE-REGISTRADA (empate técnico → orden de parsimonia), sin necesidad de desviación. Tiene además la menor dispersión del conjunto.</t>
        </is>
      </c>
    </row>
    <row r="13">
      <c r="A13" s="3" t="inlineStr">
        <is>
          <t>B · Contrastes pareados (t corregido de Nadeau-Bengio)</t>
        </is>
      </c>
    </row>
    <row r="14">
      <c r="A14" s="4" t="inlineStr">
        <is>
          <t>Modelo A</t>
        </is>
      </c>
      <c r="B14" s="4" t="inlineStr">
        <is>
          <t>Modelo B</t>
        </is>
      </c>
      <c r="C14" s="4" t="inlineStr">
        <is>
          <t>Δ AUC-PR</t>
        </is>
      </c>
      <c r="D14" s="4" t="inlineStr">
        <is>
          <t>p-valor</t>
        </is>
      </c>
      <c r="E14" s="4" t="inlineStr">
        <is>
          <t>Veredicto</t>
        </is>
      </c>
    </row>
    <row r="15">
      <c r="A15" s="5" t="inlineStr">
        <is>
          <t>Árbol de Decisión</t>
        </is>
      </c>
      <c r="B15" s="5" t="inlineStr">
        <is>
          <t>Regresión Logística (L2)</t>
        </is>
      </c>
      <c r="C15" s="24" t="n">
        <v>0.0648509972081223</v>
      </c>
      <c r="D15" s="8" t="n">
        <v>0.3081444538011932</v>
      </c>
      <c r="E15" s="5" t="inlineStr">
        <is>
          <t>EMPATE: sin evidencia de diferencia (p=0.308). Elegir el modelo más simple.</t>
        </is>
      </c>
    </row>
    <row r="16">
      <c r="A16" s="6" t="inlineStr">
        <is>
          <t>Árbol de Decisión</t>
        </is>
      </c>
      <c r="B16" s="6" t="inlineStr">
        <is>
          <t>SVM (RBF)</t>
        </is>
      </c>
      <c r="C16" s="25" t="n">
        <v>-0.0991986361150695</v>
      </c>
      <c r="D16" s="11" t="n">
        <v>0.0545468796929717</v>
      </c>
      <c r="E16" s="6" t="inlineStr">
        <is>
          <t>EMPATE: sin evidencia de diferencia (p=0.055). Elegir el modelo más simple.</t>
        </is>
      </c>
    </row>
    <row r="17">
      <c r="A17" s="5" t="inlineStr">
        <is>
          <t>Árbol de Decisión</t>
        </is>
      </c>
      <c r="B17" s="5" t="inlineStr">
        <is>
          <t>Random Forest</t>
        </is>
      </c>
      <c r="C17" s="24" t="n">
        <v>-0.130693823717861</v>
      </c>
      <c r="D17" s="8" t="n">
        <v>0.0049955185907581</v>
      </c>
      <c r="E17" s="5" t="inlineStr">
        <is>
          <t>Random Forest es mejor (diferencia significativa y relevante)</t>
        </is>
      </c>
    </row>
    <row r="18">
      <c r="A18" s="6" t="inlineStr">
        <is>
          <t>Árbol de Decisión</t>
        </is>
      </c>
      <c r="B18" s="6" t="inlineStr">
        <is>
          <t>XGBoost</t>
        </is>
      </c>
      <c r="C18" s="25" t="n">
        <v>-0.0153863045120186</v>
      </c>
      <c r="D18" s="11" t="n">
        <v>0.7465072835999402</v>
      </c>
      <c r="E18" s="6" t="inlineStr">
        <is>
          <t>EMPATE: sin evidencia de diferencia (p=0.747). Elegir el modelo más simple.</t>
        </is>
      </c>
    </row>
    <row r="19">
      <c r="A19" s="5" t="inlineStr">
        <is>
          <t>Regresión Logística (L2)</t>
        </is>
      </c>
      <c r="B19" s="5" t="inlineStr">
        <is>
          <t>SVM (RBF)</t>
        </is>
      </c>
      <c r="C19" s="24" t="n">
        <v>-0.1640496333231918</v>
      </c>
      <c r="D19" s="8" t="n">
        <v>0.0359105237686376</v>
      </c>
      <c r="E19" s="5" t="inlineStr">
        <is>
          <t>SVM (RBF) es mejor (diferencia significativa y relevante)</t>
        </is>
      </c>
    </row>
    <row r="20">
      <c r="A20" s="6" t="inlineStr">
        <is>
          <t>Regresión Logística (L2)</t>
        </is>
      </c>
      <c r="B20" s="6" t="inlineStr">
        <is>
          <t>Random Forest</t>
        </is>
      </c>
      <c r="C20" s="25" t="n">
        <v>-0.1955448209259834</v>
      </c>
      <c r="D20" s="11" t="n">
        <v>0.0051616105772844</v>
      </c>
      <c r="E20" s="6" t="inlineStr">
        <is>
          <t>Random Forest es mejor (diferencia significativa y relevante)</t>
        </is>
      </c>
    </row>
    <row r="21">
      <c r="A21" s="5" t="inlineStr">
        <is>
          <t>Regresión Logística (L2)</t>
        </is>
      </c>
      <c r="B21" s="5" t="inlineStr">
        <is>
          <t>XGBoost</t>
        </is>
      </c>
      <c r="C21" s="24" t="n">
        <v>-0.0802373017201409</v>
      </c>
      <c r="D21" s="8" t="n">
        <v>0.1310851503373653</v>
      </c>
      <c r="E21" s="5" t="inlineStr">
        <is>
          <t>EMPATE: sin evidencia de diferencia (p=0.131). Elegir el modelo más simple.</t>
        </is>
      </c>
    </row>
    <row r="22">
      <c r="A22" s="6" t="inlineStr">
        <is>
          <t>SVM (RBF)</t>
        </is>
      </c>
      <c r="B22" s="6" t="inlineStr">
        <is>
          <t>Random Forest</t>
        </is>
      </c>
      <c r="C22" s="25" t="n">
        <v>-0.0314951876027915</v>
      </c>
      <c r="D22" s="11" t="n">
        <v>0.2340360360398057</v>
      </c>
      <c r="E22" s="6" t="inlineStr">
        <is>
          <t>EMPATE: sin evidencia de diferencia (p=0.234). Elegir el modelo más simple.</t>
        </is>
      </c>
    </row>
    <row r="23">
      <c r="A23" s="5" t="inlineStr">
        <is>
          <t>SVM (RBF)</t>
        </is>
      </c>
      <c r="B23" s="5" t="inlineStr">
        <is>
          <t>XGBoost</t>
        </is>
      </c>
      <c r="C23" s="24" t="n">
        <v>0.08381233160305079</v>
      </c>
      <c r="D23" s="8" t="n">
        <v>0.0257049591278411</v>
      </c>
      <c r="E23" s="5" t="inlineStr">
        <is>
          <t>SVM (RBF) es mejor (diferencia significativa y relevante)</t>
        </is>
      </c>
    </row>
    <row r="24">
      <c r="A24" s="6" t="inlineStr">
        <is>
          <t>Random Forest</t>
        </is>
      </c>
      <c r="B24" s="6" t="inlineStr">
        <is>
          <t>XGBoost</t>
        </is>
      </c>
      <c r="C24" s="25" t="n">
        <v>0.1153075192058424</v>
      </c>
      <c r="D24" s="11" t="n">
        <v>0.0040519802161627</v>
      </c>
      <c r="E24" s="6" t="inlineStr">
        <is>
          <t>Random Forest es mejor (diferencia significativa y relevante)</t>
        </is>
      </c>
    </row>
    <row r="26">
      <c r="A26" s="3" t="inlineStr">
        <is>
          <t>C · Antes y después de corregir el protocolo</t>
        </is>
      </c>
    </row>
    <row r="27">
      <c r="A27" s="4" t="inlineStr">
        <is>
          <t>Algoritmo</t>
        </is>
      </c>
      <c r="B27" s="4" t="inlineStr">
        <is>
          <t>I-3 (19 vars, desiguales)</t>
        </is>
      </c>
      <c r="C27" s="4" t="inlineStr">
        <is>
          <t>I-3 bis (6 vars, equilibradas)</t>
        </is>
      </c>
      <c r="D27" s="4" t="inlineStr">
        <is>
          <t>Cambio</t>
        </is>
      </c>
      <c r="E27" s="4" t="inlineStr">
        <is>
          <t>Lectura</t>
        </is>
      </c>
    </row>
    <row r="28">
      <c r="A28" s="5" t="inlineStr">
        <is>
          <t>Random Forest</t>
        </is>
      </c>
      <c r="B28" s="26" t="n">
        <v>0.569</v>
      </c>
      <c r="C28" s="26" t="n">
        <v>0.745</v>
      </c>
      <c r="D28" s="27">
        <f>C28-B28</f>
        <v/>
      </c>
      <c r="E28" s="5" t="inlineStr">
        <is>
          <t>Gana en ambos; sube al corregir</t>
        </is>
      </c>
    </row>
    <row r="29">
      <c r="A29" s="6" t="inlineStr">
        <is>
          <t>SVM (RBF)</t>
        </is>
      </c>
      <c r="B29" s="28" t="n">
        <v>0.573</v>
      </c>
      <c r="C29" s="28" t="n">
        <v>0.714</v>
      </c>
      <c r="D29" s="29">
        <f>C29-B29</f>
        <v/>
      </c>
      <c r="E29" s="6" t="inlineStr">
        <is>
          <t>Era 1º, ahora 2º</t>
        </is>
      </c>
    </row>
    <row r="30">
      <c r="A30" s="5" t="inlineStr">
        <is>
          <t>XGBoost</t>
        </is>
      </c>
      <c r="B30" s="26" t="n">
        <v>0.528</v>
      </c>
      <c r="C30" s="26" t="n">
        <v>0.63</v>
      </c>
      <c r="D30" s="27">
        <f>C30-B30</f>
        <v/>
      </c>
      <c r="E30" s="5" t="inlineStr">
        <is>
          <t>⭐ Mayor recuperación: era último</t>
        </is>
      </c>
    </row>
    <row r="31">
      <c r="A31" s="6" t="inlineStr">
        <is>
          <t>Árbol de Decisión</t>
        </is>
      </c>
      <c r="B31" s="28" t="n">
        <v>0.463</v>
      </c>
      <c r="C31" s="28" t="n">
        <v>0.614</v>
      </c>
      <c r="D31" s="29">
        <f>C31-B31</f>
        <v/>
      </c>
      <c r="E31" s="6" t="inlineStr">
        <is>
          <t>Sube</t>
        </is>
      </c>
    </row>
    <row r="32">
      <c r="A32" s="5" t="inlineStr">
        <is>
          <t>Regresión Logística</t>
        </is>
      </c>
      <c r="B32" s="26" t="n">
        <v>0.548</v>
      </c>
      <c r="C32" s="26" t="n">
        <v>0.55</v>
      </c>
      <c r="D32" s="27">
        <f>C32-B32</f>
        <v/>
      </c>
      <c r="E32" s="5" t="inlineStr">
        <is>
          <t>Cae al último con 6 vars</t>
        </is>
      </c>
    </row>
    <row r="34" ht="32" customHeight="1">
      <c r="A34" s="7" t="inlineStr">
        <is>
          <t>XGBoost recuperó +0,102 SOLO por equilibrar la rejilla de búsqueda (antes tenía 8 combinaciones frente a 48 de Random Forest). Esa recuperación es MAYOR que la distancia entre el 1º y el 2º: un presupuesto de ajuste desigual no penaliza a un algoritmo, REORDENA la tabla completa.</t>
        </is>
      </c>
    </row>
    <row r="36">
      <c r="A36" s="3" t="inlineStr">
        <is>
          <t>D · Presupuesto de búsqueda por algoritmo</t>
        </is>
      </c>
    </row>
    <row r="37">
      <c r="A37" s="4" t="inlineStr">
        <is>
          <t>Algoritmo</t>
        </is>
      </c>
      <c r="B37" s="4" t="inlineStr">
        <is>
          <t>Combinaciones en I-3</t>
        </is>
      </c>
      <c r="C37" s="4" t="inlineStr">
        <is>
          <t>Combinaciones en I-3 bis</t>
        </is>
      </c>
    </row>
    <row r="38">
      <c r="A38" s="5" t="inlineStr">
        <is>
          <t>Regresión Logística</t>
        </is>
      </c>
      <c r="B38" s="5" t="n">
        <v>5</v>
      </c>
      <c r="C38" s="5" t="n">
        <v>16</v>
      </c>
    </row>
    <row r="39">
      <c r="A39" s="6" t="inlineStr">
        <is>
          <t>Árbol de Decisión</t>
        </is>
      </c>
      <c r="B39" s="6" t="n">
        <v>24</v>
      </c>
      <c r="C39" s="6" t="n">
        <v>24</v>
      </c>
    </row>
    <row r="40">
      <c r="A40" s="5" t="inlineStr">
        <is>
          <t>Random Forest</t>
        </is>
      </c>
      <c r="B40" s="5" t="n">
        <v>48</v>
      </c>
      <c r="C40" s="5" t="n">
        <v>24</v>
      </c>
    </row>
    <row r="41">
      <c r="A41" s="6" t="inlineStr">
        <is>
          <t>SVM (RBF)</t>
        </is>
      </c>
      <c r="B41" s="6" t="n">
        <v>12</v>
      </c>
      <c r="C41" s="6" t="n">
        <v>20</v>
      </c>
    </row>
    <row r="42">
      <c r="A42" s="5" t="inlineStr">
        <is>
          <t>XGBoost</t>
        </is>
      </c>
      <c r="B42" s="5" t="n">
        <v>8</v>
      </c>
      <c r="C42" s="5" t="n">
        <v>24</v>
      </c>
    </row>
  </sheetData>
  <mergeCells count="3">
    <mergeCell ref="A11:F11"/>
    <mergeCell ref="A1:F1"/>
    <mergeCell ref="A34:F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
  <sheetViews>
    <sheetView showGridLines="0" workbookViewId="0">
      <pane ySplit="2" topLeftCell="A3" activePane="bottomLeft" state="frozen"/>
      <selection pane="bottomLeft" activeCell="A1" sqref="A1"/>
    </sheetView>
  </sheetViews>
  <sheetFormatPr baseColWidth="8" defaultRowHeight="15"/>
  <cols>
    <col width="10" customWidth="1" min="1" max="1"/>
    <col width="17" customWidth="1" min="2" max="2"/>
    <col width="12" customWidth="1" min="3" max="3"/>
    <col width="15" customWidth="1" min="4" max="4"/>
    <col width="11" customWidth="1" min="5" max="5"/>
    <col width="16" customWidth="1" min="6" max="6"/>
    <col width="9" customWidth="1" min="7" max="7"/>
    <col width="9" customWidth="1" min="8" max="8"/>
  </cols>
  <sheetData>
    <row r="1" ht="24" customHeight="1">
      <c r="A1" s="1" t="inlineStr">
        <is>
          <t>UMBRAL OPERATIVO — criterio: MÁXIMA DETECCIÓN de estudiantes en riesgo</t>
        </is>
      </c>
    </row>
    <row r="3" ht="32" customHeight="1">
      <c r="A3" s="23" t="inlineStr">
        <is>
          <t>Decisión del estudiante: el objetivo es detectar el mayor número posible de casos en riesgo. La capacidad de atención es decisión de la universidad (art. 23), no un criterio del modelo.</t>
        </is>
      </c>
    </row>
    <row r="5">
      <c r="A5" s="4" t="inlineStr">
        <is>
          <t>Umbral</t>
        </is>
      </c>
      <c r="B5" s="4" t="inlineStr">
        <is>
          <t>Recall+ (detecta)</t>
        </is>
      </c>
      <c r="C5" s="4" t="inlineStr">
        <is>
          <t>Precisión+</t>
        </is>
      </c>
      <c r="D5" s="4" t="inlineStr">
        <is>
          <t>Alertas (de 80)</t>
        </is>
      </c>
      <c r="E5" s="4" t="inlineStr">
        <is>
          <t>% cohorte</t>
        </is>
      </c>
      <c r="F5" s="4" t="inlineStr">
        <is>
          <t>Veces sobre azar</t>
        </is>
      </c>
      <c r="G5" s="4" t="inlineStr">
        <is>
          <t>F1+</t>
        </is>
      </c>
      <c r="H5" s="4" t="inlineStr">
        <is>
          <t>MCC</t>
        </is>
      </c>
    </row>
    <row r="6">
      <c r="A6" s="5" t="n">
        <v>0.02</v>
      </c>
      <c r="B6" s="26" t="n">
        <v>1</v>
      </c>
      <c r="C6" s="26" t="n">
        <v>0.240506329113924</v>
      </c>
      <c r="D6" s="5" t="n">
        <v>79</v>
      </c>
      <c r="E6" s="16" t="n">
        <v>0.988</v>
      </c>
      <c r="F6" s="22" t="n">
        <v>1.01</v>
      </c>
      <c r="G6" s="26" t="n">
        <v>0.3877551020408163</v>
      </c>
      <c r="H6" s="26" t="n">
        <v>0.06279113557490131</v>
      </c>
    </row>
    <row r="7">
      <c r="A7" s="6" t="n">
        <v>0.04</v>
      </c>
      <c r="B7" s="28" t="n">
        <v>1</v>
      </c>
      <c r="C7" s="28" t="n">
        <v>0.2533333333333333</v>
      </c>
      <c r="D7" s="6" t="n">
        <v>75</v>
      </c>
      <c r="E7" s="17" t="n">
        <v>0.9379999999999999</v>
      </c>
      <c r="F7" s="21" t="n">
        <v>1.07</v>
      </c>
      <c r="G7" s="28" t="n">
        <v>0.4042553191489361</v>
      </c>
      <c r="H7" s="28" t="n">
        <v>0.1441007540660505</v>
      </c>
    </row>
    <row r="8">
      <c r="A8" s="9" t="n">
        <v>0.06</v>
      </c>
      <c r="B8" s="30" t="n">
        <v>1</v>
      </c>
      <c r="C8" s="30" t="n">
        <v>0.2878787878787879</v>
      </c>
      <c r="D8" s="9" t="n">
        <v>66</v>
      </c>
      <c r="E8" s="31" t="n">
        <v>0.825</v>
      </c>
      <c r="F8" s="32" t="n">
        <v>1.21</v>
      </c>
      <c r="G8" s="30" t="n">
        <v>0.4470588235294118</v>
      </c>
      <c r="H8" s="30" t="n">
        <v>0.2570419060783232</v>
      </c>
    </row>
    <row r="9">
      <c r="A9" s="6" t="n">
        <v>0.08</v>
      </c>
      <c r="B9" s="28" t="n">
        <v>0.8421052631578947</v>
      </c>
      <c r="C9" s="28" t="n">
        <v>0.2711864406779661</v>
      </c>
      <c r="D9" s="6" t="n">
        <v>59</v>
      </c>
      <c r="E9" s="17" t="n">
        <v>0.738</v>
      </c>
      <c r="F9" s="21" t="n">
        <v>1.14</v>
      </c>
      <c r="G9" s="28" t="n">
        <v>0.4102564102564102</v>
      </c>
      <c r="H9" s="28" t="n">
        <v>0.1326843658593399</v>
      </c>
    </row>
    <row r="10">
      <c r="A10" s="5" t="n">
        <v>0.1</v>
      </c>
      <c r="B10" s="26" t="n">
        <v>0.8421052631578947</v>
      </c>
      <c r="C10" s="26" t="n">
        <v>0.2909090909090909</v>
      </c>
      <c r="D10" s="5" t="n">
        <v>55</v>
      </c>
      <c r="E10" s="16" t="n">
        <v>0.6879999999999999</v>
      </c>
      <c r="F10" s="22" t="n">
        <v>1.22</v>
      </c>
      <c r="G10" s="26" t="n">
        <v>0.4324324324324324</v>
      </c>
      <c r="H10" s="26" t="n">
        <v>0.1861550384203466</v>
      </c>
    </row>
    <row r="11">
      <c r="A11" s="9" t="n">
        <v>0.12</v>
      </c>
      <c r="B11" s="30" t="n">
        <v>0.8421052631578947</v>
      </c>
      <c r="C11" s="30" t="n">
        <v>0.3076923076923077</v>
      </c>
      <c r="D11" s="9" t="n">
        <v>52</v>
      </c>
      <c r="E11" s="31" t="n">
        <v>0.65</v>
      </c>
      <c r="F11" s="32" t="n">
        <v>1.3</v>
      </c>
      <c r="G11" s="30" t="n">
        <v>0.4507042253521127</v>
      </c>
      <c r="H11" s="30" t="n">
        <v>0.2247814383970214</v>
      </c>
    </row>
    <row r="12">
      <c r="A12" s="5" t="n">
        <v>0.14</v>
      </c>
      <c r="B12" s="26" t="n">
        <v>0.7894736842105263</v>
      </c>
      <c r="C12" s="26" t="n">
        <v>0.3260869565217391</v>
      </c>
      <c r="D12" s="5" t="n">
        <v>46</v>
      </c>
      <c r="E12" s="16" t="n">
        <v>0.575</v>
      </c>
      <c r="F12" s="22" t="n">
        <v>1.37</v>
      </c>
      <c r="G12" s="26" t="n">
        <v>0.4615384615384615</v>
      </c>
      <c r="H12" s="26" t="n">
        <v>0.242134965198216</v>
      </c>
    </row>
    <row r="13">
      <c r="A13" s="6" t="n">
        <v>0.16</v>
      </c>
      <c r="B13" s="28" t="n">
        <v>0.7368421052631579</v>
      </c>
      <c r="C13" s="28" t="n">
        <v>0.358974358974359</v>
      </c>
      <c r="D13" s="6" t="n">
        <v>39</v>
      </c>
      <c r="E13" s="17" t="n">
        <v>0.488</v>
      </c>
      <c r="F13" s="21" t="n">
        <v>1.51</v>
      </c>
      <c r="G13" s="28" t="n">
        <v>0.4827586206896552</v>
      </c>
      <c r="H13" s="28" t="n">
        <v>0.2784025828728382</v>
      </c>
    </row>
    <row r="14">
      <c r="A14" s="5" t="n">
        <v>0.18</v>
      </c>
      <c r="B14" s="26" t="n">
        <v>0.7368421052631579</v>
      </c>
      <c r="C14" s="26" t="n">
        <v>0.3888888888888889</v>
      </c>
      <c r="D14" s="5" t="n">
        <v>36</v>
      </c>
      <c r="E14" s="16" t="n">
        <v>0.45</v>
      </c>
      <c r="F14" s="22" t="n">
        <v>1.64</v>
      </c>
      <c r="G14" s="26" t="n">
        <v>0.509090909090909</v>
      </c>
      <c r="H14" s="26" t="n">
        <v>0.3217860277202541</v>
      </c>
    </row>
    <row r="15">
      <c r="A15" s="6" t="n">
        <v>0.2</v>
      </c>
      <c r="B15" s="28" t="n">
        <v>0.6842105263157895</v>
      </c>
      <c r="C15" s="28" t="n">
        <v>0.40625</v>
      </c>
      <c r="D15" s="6" t="n">
        <v>32</v>
      </c>
      <c r="E15" s="17" t="n">
        <v>0.4</v>
      </c>
      <c r="F15" s="21" t="n">
        <v>1.71</v>
      </c>
      <c r="G15" s="28" t="n">
        <v>0.5098039215686274</v>
      </c>
      <c r="H15" s="28" t="n">
        <v>0.3237773177817161</v>
      </c>
    </row>
    <row r="16">
      <c r="A16" s="5" t="n">
        <v>0.22</v>
      </c>
      <c r="B16" s="26" t="n">
        <v>0.631578947368421</v>
      </c>
      <c r="C16" s="26" t="n">
        <v>0.4615384615384615</v>
      </c>
      <c r="D16" s="5" t="n">
        <v>26</v>
      </c>
      <c r="E16" s="16" t="n">
        <v>0.325</v>
      </c>
      <c r="F16" s="22" t="n">
        <v>1.94</v>
      </c>
      <c r="G16" s="26" t="n">
        <v>0.5333333333333333</v>
      </c>
      <c r="H16" s="26" t="n">
        <v>0.3653092295466805</v>
      </c>
    </row>
    <row r="17">
      <c r="A17" s="6" t="n">
        <v>0.24</v>
      </c>
      <c r="B17" s="28" t="n">
        <v>0.631578947368421</v>
      </c>
      <c r="C17" s="28" t="n">
        <v>0.5454545454545454</v>
      </c>
      <c r="D17" s="6" t="n">
        <v>22</v>
      </c>
      <c r="E17" s="17" t="n">
        <v>0.275</v>
      </c>
      <c r="F17" s="21" t="n">
        <v>2.3</v>
      </c>
      <c r="G17" s="28" t="n">
        <v>0.5853658536585366</v>
      </c>
      <c r="H17" s="28" t="n">
        <v>0.445689324207581</v>
      </c>
    </row>
    <row r="18">
      <c r="A18" s="5" t="n">
        <v>0.26</v>
      </c>
      <c r="B18" s="26" t="n">
        <v>0.631578947368421</v>
      </c>
      <c r="C18" s="26" t="n">
        <v>0.5714285714285714</v>
      </c>
      <c r="D18" s="5" t="n">
        <v>21</v>
      </c>
      <c r="E18" s="16" t="n">
        <v>0.262</v>
      </c>
      <c r="F18" s="22" t="n">
        <v>2.41</v>
      </c>
      <c r="G18" s="26" t="n">
        <v>0.6</v>
      </c>
      <c r="H18" s="26" t="n">
        <v>0.468150498409369</v>
      </c>
    </row>
    <row r="19">
      <c r="A19" s="6" t="n">
        <v>0.28</v>
      </c>
      <c r="B19" s="28" t="n">
        <v>0.631578947368421</v>
      </c>
      <c r="C19" s="28" t="n">
        <v>0.631578947368421</v>
      </c>
      <c r="D19" s="6" t="n">
        <v>19</v>
      </c>
      <c r="E19" s="17" t="n">
        <v>0.238</v>
      </c>
      <c r="F19" s="21" t="n">
        <v>2.66</v>
      </c>
      <c r="G19" s="28" t="n">
        <v>0.631578947368421</v>
      </c>
      <c r="H19" s="28" t="n">
        <v>0.5168248490077653</v>
      </c>
    </row>
    <row r="20">
      <c r="A20" s="5" t="n">
        <v>0.3</v>
      </c>
      <c r="B20" s="26" t="n">
        <v>0.631578947368421</v>
      </c>
      <c r="C20" s="26" t="n">
        <v>0.7058823529411765</v>
      </c>
      <c r="D20" s="5" t="n">
        <v>17</v>
      </c>
      <c r="E20" s="16" t="n">
        <v>0.212</v>
      </c>
      <c r="F20" s="22" t="n">
        <v>2.97</v>
      </c>
      <c r="G20" s="26" t="n">
        <v>0.6666666666666666</v>
      </c>
      <c r="H20" s="26" t="n">
        <v>0.5717457946556576</v>
      </c>
    </row>
    <row r="21">
      <c r="A21" s="6" t="n">
        <v>0.32</v>
      </c>
      <c r="B21" s="28" t="n">
        <v>0.631578947368421</v>
      </c>
      <c r="C21" s="28" t="n">
        <v>0.7058823529411765</v>
      </c>
      <c r="D21" s="6" t="n">
        <v>17</v>
      </c>
      <c r="E21" s="17" t="n">
        <v>0.212</v>
      </c>
      <c r="F21" s="21" t="n">
        <v>2.97</v>
      </c>
      <c r="G21" s="28" t="n">
        <v>0.6666666666666666</v>
      </c>
      <c r="H21" s="28" t="n">
        <v>0.5717457946556576</v>
      </c>
    </row>
    <row r="22">
      <c r="A22" s="5" t="n">
        <v>0.34</v>
      </c>
      <c r="B22" s="26" t="n">
        <v>0.631578947368421</v>
      </c>
      <c r="C22" s="26" t="n">
        <v>0.7058823529411765</v>
      </c>
      <c r="D22" s="5" t="n">
        <v>17</v>
      </c>
      <c r="E22" s="16" t="n">
        <v>0.212</v>
      </c>
      <c r="F22" s="22" t="n">
        <v>2.97</v>
      </c>
      <c r="G22" s="26" t="n">
        <v>0.6666666666666666</v>
      </c>
      <c r="H22" s="26" t="n">
        <v>0.5717457946556576</v>
      </c>
    </row>
    <row r="23">
      <c r="A23" s="6" t="n">
        <v>0.36</v>
      </c>
      <c r="B23" s="28" t="n">
        <v>0.631578947368421</v>
      </c>
      <c r="C23" s="28" t="n">
        <v>0.8</v>
      </c>
      <c r="D23" s="6" t="n">
        <v>15</v>
      </c>
      <c r="E23" s="17" t="n">
        <v>0.188</v>
      </c>
      <c r="F23" s="21" t="n">
        <v>3.37</v>
      </c>
      <c r="G23" s="28" t="n">
        <v>0.7058823529411765</v>
      </c>
      <c r="H23" s="28" t="n">
        <v>0.6349795620875779</v>
      </c>
    </row>
    <row r="24">
      <c r="A24" s="5" t="n">
        <v>0.38</v>
      </c>
      <c r="B24" s="26" t="n">
        <v>0.631578947368421</v>
      </c>
      <c r="C24" s="26" t="n">
        <v>0.8</v>
      </c>
      <c r="D24" s="5" t="n">
        <v>15</v>
      </c>
      <c r="E24" s="16" t="n">
        <v>0.188</v>
      </c>
      <c r="F24" s="22" t="n">
        <v>3.37</v>
      </c>
      <c r="G24" s="26" t="n">
        <v>0.7058823529411765</v>
      </c>
      <c r="H24" s="26" t="n">
        <v>0.6349795620875779</v>
      </c>
    </row>
    <row r="25">
      <c r="A25" s="6" t="n">
        <v>0.4</v>
      </c>
      <c r="B25" s="28" t="n">
        <v>0.631578947368421</v>
      </c>
      <c r="C25" s="28" t="n">
        <v>0.8</v>
      </c>
      <c r="D25" s="6" t="n">
        <v>15</v>
      </c>
      <c r="E25" s="17" t="n">
        <v>0.188</v>
      </c>
      <c r="F25" s="21" t="n">
        <v>3.37</v>
      </c>
      <c r="G25" s="28" t="n">
        <v>0.7058823529411765</v>
      </c>
      <c r="H25" s="28" t="n">
        <v>0.6349795620875779</v>
      </c>
    </row>
    <row r="26">
      <c r="A26" s="5" t="n">
        <v>0.42</v>
      </c>
      <c r="B26" s="26" t="n">
        <v>0.631578947368421</v>
      </c>
      <c r="C26" s="26" t="n">
        <v>0.8</v>
      </c>
      <c r="D26" s="5" t="n">
        <v>15</v>
      </c>
      <c r="E26" s="16" t="n">
        <v>0.188</v>
      </c>
      <c r="F26" s="22" t="n">
        <v>3.37</v>
      </c>
      <c r="G26" s="26" t="n">
        <v>0.7058823529411765</v>
      </c>
      <c r="H26" s="26" t="n">
        <v>0.6349795620875779</v>
      </c>
    </row>
    <row r="27">
      <c r="A27" s="6" t="n">
        <v>0.44</v>
      </c>
      <c r="B27" s="28" t="n">
        <v>0.631578947368421</v>
      </c>
      <c r="C27" s="28" t="n">
        <v>0.8</v>
      </c>
      <c r="D27" s="6" t="n">
        <v>15</v>
      </c>
      <c r="E27" s="17" t="n">
        <v>0.188</v>
      </c>
      <c r="F27" s="21" t="n">
        <v>3.37</v>
      </c>
      <c r="G27" s="28" t="n">
        <v>0.7058823529411765</v>
      </c>
      <c r="H27" s="28" t="n">
        <v>0.6349795620875779</v>
      </c>
    </row>
    <row r="28">
      <c r="A28" s="5" t="n">
        <v>0.46</v>
      </c>
      <c r="B28" s="26" t="n">
        <v>0.631578947368421</v>
      </c>
      <c r="C28" s="26" t="n">
        <v>0.8</v>
      </c>
      <c r="D28" s="5" t="n">
        <v>15</v>
      </c>
      <c r="E28" s="16" t="n">
        <v>0.188</v>
      </c>
      <c r="F28" s="22" t="n">
        <v>3.37</v>
      </c>
      <c r="G28" s="26" t="n">
        <v>0.7058823529411765</v>
      </c>
      <c r="H28" s="26" t="n">
        <v>0.6349795620875779</v>
      </c>
    </row>
    <row r="29">
      <c r="A29" s="6" t="n">
        <v>0.48</v>
      </c>
      <c r="B29" s="28" t="n">
        <v>0.631578947368421</v>
      </c>
      <c r="C29" s="28" t="n">
        <v>0.8571428571428571</v>
      </c>
      <c r="D29" s="6" t="n">
        <v>14</v>
      </c>
      <c r="E29" s="17" t="n">
        <v>0.175</v>
      </c>
      <c r="F29" s="21" t="n">
        <v>3.61</v>
      </c>
      <c r="G29" s="28" t="n">
        <v>0.7272727272727273</v>
      </c>
      <c r="H29" s="28" t="n">
        <v>0.6706281308960764</v>
      </c>
    </row>
    <row r="30">
      <c r="A30" s="5" t="n">
        <v>0.5</v>
      </c>
      <c r="B30" s="26" t="n">
        <v>0.631578947368421</v>
      </c>
      <c r="C30" s="26" t="n">
        <v>0.8571428571428571</v>
      </c>
      <c r="D30" s="5" t="n">
        <v>14</v>
      </c>
      <c r="E30" s="16" t="n">
        <v>0.175</v>
      </c>
      <c r="F30" s="22" t="n">
        <v>3.61</v>
      </c>
      <c r="G30" s="26" t="n">
        <v>0.7272727272727273</v>
      </c>
      <c r="H30" s="26" t="n">
        <v>0.6706281308960764</v>
      </c>
    </row>
    <row r="31">
      <c r="A31" s="6" t="n">
        <v>0.52</v>
      </c>
      <c r="B31" s="28" t="n">
        <v>0.631578947368421</v>
      </c>
      <c r="C31" s="28" t="n">
        <v>0.8571428571428571</v>
      </c>
      <c r="D31" s="6" t="n">
        <v>14</v>
      </c>
      <c r="E31" s="17" t="n">
        <v>0.175</v>
      </c>
      <c r="F31" s="21" t="n">
        <v>3.61</v>
      </c>
      <c r="G31" s="28" t="n">
        <v>0.7272727272727273</v>
      </c>
      <c r="H31" s="28" t="n">
        <v>0.6706281308960764</v>
      </c>
    </row>
    <row r="32">
      <c r="A32" s="5" t="n">
        <v>0.54</v>
      </c>
      <c r="B32" s="26" t="n">
        <v>0.631578947368421</v>
      </c>
      <c r="C32" s="26" t="n">
        <v>0.8571428571428571</v>
      </c>
      <c r="D32" s="5" t="n">
        <v>14</v>
      </c>
      <c r="E32" s="16" t="n">
        <v>0.175</v>
      </c>
      <c r="F32" s="22" t="n">
        <v>3.61</v>
      </c>
      <c r="G32" s="26" t="n">
        <v>0.7272727272727273</v>
      </c>
      <c r="H32" s="26" t="n">
        <v>0.6706281308960764</v>
      </c>
    </row>
    <row r="33">
      <c r="A33" s="6" t="n">
        <v>0.5600000000000001</v>
      </c>
      <c r="B33" s="28" t="n">
        <v>0.5789473684210527</v>
      </c>
      <c r="C33" s="28" t="n">
        <v>0.9166666666666666</v>
      </c>
      <c r="D33" s="6" t="n">
        <v>12</v>
      </c>
      <c r="E33" s="17" t="n">
        <v>0.15</v>
      </c>
      <c r="F33" s="21" t="n">
        <v>3.86</v>
      </c>
      <c r="G33" s="28" t="n">
        <v>0.7096774193548387</v>
      </c>
      <c r="H33" s="28" t="n">
        <v>0.6704413599874464</v>
      </c>
    </row>
    <row r="34">
      <c r="A34" s="5" t="n">
        <v>0.58</v>
      </c>
      <c r="B34" s="26" t="n">
        <v>0.5789473684210527</v>
      </c>
      <c r="C34" s="26" t="n">
        <v>0.9166666666666666</v>
      </c>
      <c r="D34" s="5" t="n">
        <v>12</v>
      </c>
      <c r="E34" s="16" t="n">
        <v>0.15</v>
      </c>
      <c r="F34" s="22" t="n">
        <v>3.86</v>
      </c>
      <c r="G34" s="26" t="n">
        <v>0.7096774193548387</v>
      </c>
      <c r="H34" s="26" t="n">
        <v>0.6704413599874464</v>
      </c>
    </row>
    <row r="35">
      <c r="A35" s="6" t="n">
        <v>0.6</v>
      </c>
      <c r="B35" s="28" t="n">
        <v>0.5789473684210527</v>
      </c>
      <c r="C35" s="28" t="n">
        <v>0.9166666666666666</v>
      </c>
      <c r="D35" s="6" t="n">
        <v>12</v>
      </c>
      <c r="E35" s="17" t="n">
        <v>0.15</v>
      </c>
      <c r="F35" s="21" t="n">
        <v>3.86</v>
      </c>
      <c r="G35" s="28" t="n">
        <v>0.7096774193548387</v>
      </c>
      <c r="H35" s="28" t="n">
        <v>0.6704413599874464</v>
      </c>
    </row>
    <row r="36">
      <c r="A36" s="5" t="n">
        <v>0.62</v>
      </c>
      <c r="B36" s="26" t="n">
        <v>0.5789473684210527</v>
      </c>
      <c r="C36" s="26" t="n">
        <v>1</v>
      </c>
      <c r="D36" s="5" t="n">
        <v>11</v>
      </c>
      <c r="E36" s="16" t="n">
        <v>0.138</v>
      </c>
      <c r="F36" s="22" t="n">
        <v>4.21</v>
      </c>
      <c r="G36" s="26" t="n">
        <v>0.7333333333333333</v>
      </c>
      <c r="H36" s="26" t="n">
        <v>0.715418084654348</v>
      </c>
    </row>
    <row r="37">
      <c r="A37" s="6" t="n">
        <v>0.64</v>
      </c>
      <c r="B37" s="28" t="n">
        <v>0.5263157894736842</v>
      </c>
      <c r="C37" s="28" t="n">
        <v>1</v>
      </c>
      <c r="D37" s="6" t="n">
        <v>10</v>
      </c>
      <c r="E37" s="17" t="n">
        <v>0.125</v>
      </c>
      <c r="F37" s="21" t="n">
        <v>4.21</v>
      </c>
      <c r="G37" s="28" t="n">
        <v>0.6896551724137931</v>
      </c>
      <c r="H37" s="28" t="n">
        <v>0.6772345358451187</v>
      </c>
    </row>
    <row r="38">
      <c r="A38" s="5" t="n">
        <v>0.66</v>
      </c>
      <c r="B38" s="26" t="n">
        <v>0.4736842105263157</v>
      </c>
      <c r="C38" s="26" t="n">
        <v>1</v>
      </c>
      <c r="D38" s="5" t="n">
        <v>9</v>
      </c>
      <c r="E38" s="16" t="n">
        <v>0.112</v>
      </c>
      <c r="F38" s="22" t="n">
        <v>4.21</v>
      </c>
      <c r="G38" s="26" t="n">
        <v>0.6428571428571429</v>
      </c>
      <c r="H38" s="26" t="n">
        <v>0.6379405336994145</v>
      </c>
    </row>
    <row r="39">
      <c r="A39" s="6" t="n">
        <v>0.68</v>
      </c>
      <c r="B39" s="28" t="n">
        <v>0.4736842105263157</v>
      </c>
      <c r="C39" s="28" t="n">
        <v>1</v>
      </c>
      <c r="D39" s="6" t="n">
        <v>9</v>
      </c>
      <c r="E39" s="17" t="n">
        <v>0.112</v>
      </c>
      <c r="F39" s="21" t="n">
        <v>4.21</v>
      </c>
      <c r="G39" s="28" t="n">
        <v>0.6428571428571429</v>
      </c>
      <c r="H39" s="28" t="n">
        <v>0.6379405336994145</v>
      </c>
    </row>
    <row r="40">
      <c r="A40" s="5" t="n">
        <v>0.7</v>
      </c>
      <c r="B40" s="26" t="n">
        <v>0.3684210526315789</v>
      </c>
      <c r="C40" s="26" t="n">
        <v>1</v>
      </c>
      <c r="D40" s="5" t="n">
        <v>7</v>
      </c>
      <c r="E40" s="16" t="n">
        <v>0.08799999999999999</v>
      </c>
      <c r="F40" s="22" t="n">
        <v>4.21</v>
      </c>
      <c r="G40" s="26" t="n">
        <v>0.5384615384615384</v>
      </c>
      <c r="H40" s="26" t="n">
        <v>0.554850148973062</v>
      </c>
    </row>
    <row r="42" ht="32" customHeight="1">
      <c r="A42" s="7" t="inlineStr">
        <is>
          <t>LECTURA · Umbral 0,06 → detecta el 100 % (19 de 19) alertando sobre 66 estudiantes. Umbral 0,12 → detecta el 84 % con 52 alertas y mejor discriminación (1,30x sobre el azar). Por debajo de 0,06 el modelo se acerca a "alertar a todos" y pierde valor (1,01x).</t>
        </is>
      </c>
    </row>
    <row r="44">
      <c r="A44" s="3" t="inlineStr">
        <is>
          <t>LIMITACIÓN INTRÍNSECA</t>
        </is>
      </c>
    </row>
    <row r="45" ht="32" customHeight="1">
      <c r="A45" s="12" t="inlineStr">
        <is>
          <t>Con 19 positivos entre 80, un modelo con AUC-PR 0,745 NO puede dar alta precisión y alta exhaustividad a la vez. Detectar el 100 % exige alertar sobre el 83 % de la cohorte. Es aritmética de la prevalencia, no un defecto corregible.</t>
        </is>
      </c>
    </row>
  </sheetData>
  <mergeCells count="4">
    <mergeCell ref="A42:H42"/>
    <mergeCell ref="A3:H3"/>
    <mergeCell ref="A45:H45"/>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showGridLines="0" workbookViewId="0">
      <pane ySplit="2" topLeftCell="A3" activePane="bottomLeft" state="frozen"/>
      <selection pane="bottomLeft" activeCell="A1" sqref="A1"/>
    </sheetView>
  </sheetViews>
  <sheetFormatPr baseColWidth="8" defaultRowHeight="15"/>
  <cols>
    <col width="20" customWidth="1" min="1" max="1"/>
    <col width="14" customWidth="1" min="2" max="2"/>
    <col width="11" customWidth="1" min="3" max="3"/>
    <col width="9" customWidth="1" min="4" max="4"/>
    <col width="14" customWidth="1" min="5" max="5"/>
    <col width="12" customWidth="1" min="6" max="6"/>
  </cols>
  <sheetData>
    <row r="1" ht="24" customHeight="1">
      <c r="A1" s="1" t="inlineStr">
        <is>
          <t>DIAGNÓSTICO — ¿sobreajuste o falta de datos?</t>
        </is>
      </c>
    </row>
    <row r="3">
      <c r="A3" s="3" t="inlineStr">
        <is>
          <t>A · Curva de aprendizaje (Random Forest)</t>
        </is>
      </c>
    </row>
    <row r="4">
      <c r="A4" s="4" t="inlineStr">
        <is>
          <t>Fracción</t>
        </is>
      </c>
      <c r="B4" s="4" t="inlineStr">
        <is>
          <t>n entrenamiento</t>
        </is>
      </c>
      <c r="C4" s="4" t="inlineStr">
        <is>
          <t>AUC-PR train</t>
        </is>
      </c>
      <c r="D4" s="4" t="inlineStr">
        <is>
          <t>AUC-PR validación</t>
        </is>
      </c>
      <c r="E4" s="4" t="inlineStr">
        <is>
          <t>sd validación</t>
        </is>
      </c>
    </row>
    <row r="5">
      <c r="A5" s="16" t="n">
        <v>0.4</v>
      </c>
      <c r="B5" s="5" t="n">
        <v>25</v>
      </c>
      <c r="C5" s="26" t="n">
        <v>1</v>
      </c>
      <c r="D5" s="26" t="n">
        <v>0.5565</v>
      </c>
      <c r="E5" s="26" t="n">
        <v>0.1928</v>
      </c>
    </row>
    <row r="6">
      <c r="A6" s="17" t="n">
        <v>0.55</v>
      </c>
      <c r="B6" s="6" t="n">
        <v>35</v>
      </c>
      <c r="C6" s="28" t="n">
        <v>1</v>
      </c>
      <c r="D6" s="28" t="n">
        <v>0.6363</v>
      </c>
      <c r="E6" s="28" t="n">
        <v>0.1781</v>
      </c>
    </row>
    <row r="7">
      <c r="A7" s="16" t="n">
        <v>0.7</v>
      </c>
      <c r="B7" s="5" t="n">
        <v>44</v>
      </c>
      <c r="C7" s="26" t="n">
        <v>1</v>
      </c>
      <c r="D7" s="26" t="n">
        <v>0.6882</v>
      </c>
      <c r="E7" s="26" t="n">
        <v>0.1523</v>
      </c>
    </row>
    <row r="8">
      <c r="A8" s="17" t="n">
        <v>0.85</v>
      </c>
      <c r="B8" s="6" t="n">
        <v>54</v>
      </c>
      <c r="C8" s="28" t="n">
        <v>1</v>
      </c>
      <c r="D8" s="28" t="n">
        <v>0.7507</v>
      </c>
      <c r="E8" s="28" t="n">
        <v>0.1598</v>
      </c>
    </row>
    <row r="9">
      <c r="A9" s="16" t="n">
        <v>1</v>
      </c>
      <c r="B9" s="5" t="n">
        <v>64</v>
      </c>
      <c r="C9" s="26" t="n">
        <v>1</v>
      </c>
      <c r="D9" s="26" t="n">
        <v>0.7681</v>
      </c>
      <c r="E9" s="26" t="n">
        <v>0.1559</v>
      </c>
    </row>
    <row r="11" ht="32" customHeight="1">
      <c r="A11" s="23" t="inlineStr">
        <is>
          <t>La validación sube de forma MONOTÓNICA Y SIN MESETA (0,557 → 0,768). El modelo está limitado por FALTA DE DATOS, no por el algoritmo. Es el argumento empírico para extender el estudio a la FCBI completa (n≈275).</t>
        </is>
      </c>
    </row>
    <row r="13">
      <c r="A13" s="3" t="inlineStr">
        <is>
          <t>B · Brecha train–validación (sobreajuste)</t>
        </is>
      </c>
    </row>
    <row r="14">
      <c r="A14" s="4" t="inlineStr">
        <is>
          <t>Modelo</t>
        </is>
      </c>
      <c r="B14" s="4" t="inlineStr">
        <is>
          <t>AUC-PR train</t>
        </is>
      </c>
      <c r="C14" s="4" t="inlineStr">
        <is>
          <t>AUC-PR validación</t>
        </is>
      </c>
      <c r="D14" s="4" t="inlineStr">
        <is>
          <t>Brecha</t>
        </is>
      </c>
      <c r="E14" s="4" t="inlineStr">
        <is>
          <t>sd validación</t>
        </is>
      </c>
    </row>
    <row r="15">
      <c r="A15" s="5" t="inlineStr">
        <is>
          <t>Random Forest</t>
        </is>
      </c>
      <c r="B15" s="26" t="n">
        <v>1</v>
      </c>
      <c r="C15" s="26" t="n">
        <v>0.7723</v>
      </c>
      <c r="D15" s="26" t="n">
        <v>0.2277</v>
      </c>
      <c r="E15" s="26" t="n">
        <v>0.1599</v>
      </c>
    </row>
    <row r="16">
      <c r="A16" s="6" t="inlineStr">
        <is>
          <t>Árbol de Decisión</t>
        </is>
      </c>
      <c r="B16" s="28" t="n">
        <v>0.836</v>
      </c>
      <c r="C16" s="28" t="n">
        <v>0.6002</v>
      </c>
      <c r="D16" s="28" t="n">
        <v>0.2358</v>
      </c>
      <c r="E16" s="28" t="n">
        <v>0.1682</v>
      </c>
    </row>
    <row r="17">
      <c r="A17" s="5" t="inlineStr">
        <is>
          <t>Regresión Logística (L2)</t>
        </is>
      </c>
      <c r="B17" s="26" t="n">
        <v>0.9134</v>
      </c>
      <c r="C17" s="26" t="n">
        <v>0.6299</v>
      </c>
      <c r="D17" s="26" t="n">
        <v>0.2835</v>
      </c>
      <c r="E17" s="26" t="n">
        <v>0.1766</v>
      </c>
    </row>
    <row r="18">
      <c r="A18" s="6" t="inlineStr">
        <is>
          <t>XGBoost (rejilla vieja)</t>
        </is>
      </c>
      <c r="B18" s="28" t="n">
        <v>1</v>
      </c>
      <c r="C18" s="28" t="n">
        <v>0.6914</v>
      </c>
      <c r="D18" s="28" t="n">
        <v>0.3086</v>
      </c>
      <c r="E18" s="28" t="n">
        <v>0.1926</v>
      </c>
    </row>
    <row r="19">
      <c r="A19" s="5" t="inlineStr">
        <is>
          <t>XGBoost (regularizado)</t>
        </is>
      </c>
      <c r="B19" s="26" t="n">
        <v>0.7647</v>
      </c>
      <c r="C19" s="26" t="n">
        <v>0.3966</v>
      </c>
      <c r="D19" s="26" t="n">
        <v>0.3681</v>
      </c>
      <c r="E19" s="26" t="n">
        <v>0.1434</v>
      </c>
    </row>
    <row r="20">
      <c r="A20" s="6" t="inlineStr">
        <is>
          <t>SVM (RBF)</t>
        </is>
      </c>
      <c r="B20" s="28" t="n">
        <v>0.9648</v>
      </c>
      <c r="C20" s="28" t="n">
        <v>0.5908</v>
      </c>
      <c r="D20" s="28" t="n">
        <v>0.374</v>
      </c>
      <c r="E20" s="28" t="n">
        <v>0.1938</v>
      </c>
    </row>
    <row r="22" ht="32" customHeight="1">
      <c r="A22" s="12" t="inlineStr">
        <is>
          <t>Todos los modelos memorizan el entrenamiento (RF llega a 1,000). Con 64 casos y 15 positivos por pliegue, cualquier modelo con capacidad suficiente lo hará. Hay señal real (la validación supera ampliamente el 0,238 del azar) pero la varianza es alta.</t>
        </is>
      </c>
    </row>
    <row r="24">
      <c r="A24" s="3" t="inlineStr">
        <is>
          <t>C · Bootstrap .632+ (estimador independiente de la validación cruzada)</t>
        </is>
      </c>
    </row>
    <row r="25">
      <c r="A25" s="4" t="inlineStr">
        <is>
          <t>Modelo</t>
        </is>
      </c>
      <c r="B25" s="4" t="inlineStr">
        <is>
          <t>AUC-PR aparente</t>
        </is>
      </c>
      <c r="C25" s="4" t="inlineStr">
        <is>
          <t>AUC-PR OOB</t>
        </is>
      </c>
      <c r="D25" s="4" t="inlineStr">
        <is>
          <t>Peso w</t>
        </is>
      </c>
      <c r="E25" s="4" t="inlineStr">
        <is>
          <t>AUC-PR .632+</t>
        </is>
      </c>
      <c r="F25" s="4" t="inlineStr">
        <is>
          <t>n bootstrap</t>
        </is>
      </c>
    </row>
    <row r="26">
      <c r="A26" s="5" t="inlineStr">
        <is>
          <t>Regresión Logística (L2)</t>
        </is>
      </c>
      <c r="B26" s="26" t="n">
        <v>0.8826000000000001</v>
      </c>
      <c r="C26" s="26" t="n">
        <v>0.5305</v>
      </c>
      <c r="D26" s="26" t="n">
        <v>0.7907999999999999</v>
      </c>
      <c r="E26" s="26" t="n">
        <v>0.6042</v>
      </c>
      <c r="F26" s="5" t="n">
        <v>200</v>
      </c>
    </row>
    <row r="27">
      <c r="A27" s="6" t="inlineStr">
        <is>
          <t>Random Forest</t>
        </is>
      </c>
      <c r="B27" s="28" t="n">
        <v>1</v>
      </c>
      <c r="C27" s="28" t="n">
        <v>0.6988</v>
      </c>
      <c r="D27" s="28" t="n">
        <v>0.7395</v>
      </c>
      <c r="E27" s="28" t="n">
        <v>0.7773</v>
      </c>
      <c r="F27" s="6" t="n">
        <v>200</v>
      </c>
    </row>
    <row r="28">
      <c r="A28" s="5" t="inlineStr">
        <is>
          <t>XGBoost (regularizado)</t>
        </is>
      </c>
      <c r="B28" s="26" t="n">
        <v>0.8306</v>
      </c>
      <c r="C28" s="26" t="n">
        <v>0.3708</v>
      </c>
      <c r="D28" s="26" t="n">
        <v>0.8843</v>
      </c>
      <c r="E28" s="26" t="n">
        <v>0.424</v>
      </c>
      <c r="F28" s="5" t="n">
        <v>200</v>
      </c>
    </row>
    <row r="30" ht="32" customHeight="1">
      <c r="A30" s="7" t="inlineStr">
        <is>
          <t>⚠ La adaptación del .632+ a AUC-PR NO es canónica (el estimador se derivó para tasas de error). Se declara como tal. Es comparable con la ablación (hiperparámetros fijos), no con la CV anidada.</t>
        </is>
      </c>
    </row>
    <row r="32">
      <c r="A32" s="3" t="inlineStr">
        <is>
          <t>D · Curva de validación de la regularización de XGBoost</t>
        </is>
      </c>
    </row>
    <row r="33">
      <c r="A33" s="4" t="inlineStr">
        <is>
          <t>min_child_weight</t>
        </is>
      </c>
      <c r="B33" s="4" t="inlineStr">
        <is>
          <t>reg_lambda</t>
        </is>
      </c>
      <c r="C33" s="4" t="inlineStr">
        <is>
          <t>AUC-PR</t>
        </is>
      </c>
      <c r="D33" s="4" t="inlineStr">
        <is>
          <t>sd</t>
        </is>
      </c>
    </row>
    <row r="34">
      <c r="A34" s="5" t="n">
        <v>1</v>
      </c>
      <c r="B34" s="5" t="n">
        <v>1</v>
      </c>
      <c r="C34" s="26" t="n">
        <v>0.7103</v>
      </c>
      <c r="D34" s="26" t="n">
        <v>0.1709</v>
      </c>
    </row>
    <row r="35">
      <c r="A35" s="6" t="n">
        <v>1</v>
      </c>
      <c r="B35" s="6" t="n">
        <v>0.5</v>
      </c>
      <c r="C35" s="28" t="n">
        <v>0.71</v>
      </c>
      <c r="D35" s="28" t="n">
        <v>0.1753</v>
      </c>
    </row>
    <row r="36">
      <c r="A36" s="5" t="n">
        <v>1</v>
      </c>
      <c r="B36" s="5" t="n">
        <v>5</v>
      </c>
      <c r="C36" s="26" t="n">
        <v>0.6694</v>
      </c>
      <c r="D36" s="26" t="n">
        <v>0.1719</v>
      </c>
    </row>
    <row r="37">
      <c r="A37" s="6" t="n">
        <v>1</v>
      </c>
      <c r="B37" s="6" t="n">
        <v>20</v>
      </c>
      <c r="C37" s="28" t="n">
        <v>0.6194</v>
      </c>
      <c r="D37" s="28" t="n">
        <v>0.1738</v>
      </c>
    </row>
    <row r="38">
      <c r="A38" s="5" t="n">
        <v>3</v>
      </c>
      <c r="B38" s="5" t="n">
        <v>5</v>
      </c>
      <c r="C38" s="26" t="n">
        <v>0.4103</v>
      </c>
      <c r="D38" s="26" t="n">
        <v>0.1424</v>
      </c>
    </row>
    <row r="39">
      <c r="A39" s="6" t="n">
        <v>3</v>
      </c>
      <c r="B39" s="6" t="n">
        <v>20</v>
      </c>
      <c r="C39" s="28" t="n">
        <v>0.3986</v>
      </c>
      <c r="D39" s="28" t="n">
        <v>0.1353</v>
      </c>
    </row>
    <row r="40">
      <c r="A40" s="5" t="n">
        <v>3</v>
      </c>
      <c r="B40" s="5" t="n">
        <v>1</v>
      </c>
      <c r="C40" s="26" t="n">
        <v>0.397</v>
      </c>
      <c r="D40" s="26" t="n">
        <v>0.1322</v>
      </c>
    </row>
    <row r="41">
      <c r="A41" s="6" t="n">
        <v>3</v>
      </c>
      <c r="B41" s="6" t="n">
        <v>0.5</v>
      </c>
      <c r="C41" s="28" t="n">
        <v>0.3962</v>
      </c>
      <c r="D41" s="28" t="n">
        <v>0.1364</v>
      </c>
    </row>
    <row r="42">
      <c r="A42" s="5" t="n">
        <v>5</v>
      </c>
      <c r="B42" s="5" t="n">
        <v>0.5</v>
      </c>
      <c r="C42" s="26" t="n">
        <v>0.3261</v>
      </c>
      <c r="D42" s="26" t="n">
        <v>0.1197</v>
      </c>
    </row>
    <row r="43">
      <c r="A43" s="6" t="n">
        <v>5</v>
      </c>
      <c r="B43" s="6" t="n">
        <v>5</v>
      </c>
      <c r="C43" s="28" t="n">
        <v>0.3252</v>
      </c>
      <c r="D43" s="28" t="n">
        <v>0.1213</v>
      </c>
    </row>
    <row r="44">
      <c r="A44" s="5" t="n">
        <v>5</v>
      </c>
      <c r="B44" s="5" t="n">
        <v>1</v>
      </c>
      <c r="C44" s="26" t="n">
        <v>0.3226</v>
      </c>
      <c r="D44" s="26" t="n">
        <v>0.1168</v>
      </c>
    </row>
    <row r="45">
      <c r="A45" s="6" t="n">
        <v>5</v>
      </c>
      <c r="B45" s="6" t="n">
        <v>20</v>
      </c>
      <c r="C45" s="28" t="n">
        <v>0.3195</v>
      </c>
      <c r="D45" s="28" t="n">
        <v>0.1111</v>
      </c>
    </row>
    <row r="47" ht="32" customHeight="1">
      <c r="A47" s="7" t="inlineStr">
        <is>
          <t>RESULTADO CONTRAINTUITIVO: regularizar AGRESIVAMENTE es contraproducente. min_child_weight=3 hunde el AUC-PR de 0,710 a 0,397 — con 15 positivos, exigir 3 instancias por hoja bloquea los cortes sobre la clase minoritaria.</t>
        </is>
      </c>
    </row>
  </sheetData>
  <mergeCells count="5">
    <mergeCell ref="A11:F11"/>
    <mergeCell ref="A47:F47"/>
    <mergeCell ref="A1:F1"/>
    <mergeCell ref="A22:F22"/>
    <mergeCell ref="A30:F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showGridLines="0" workbookViewId="0">
      <pane ySplit="2" topLeftCell="A3" activePane="bottomLeft" state="frozen"/>
      <selection pane="bottomLeft" activeCell="A1" sqref="A1"/>
    </sheetView>
  </sheetViews>
  <sheetFormatPr baseColWidth="8" defaultRowHeight="15"/>
  <cols>
    <col width="26" customWidth="1" min="1" max="1"/>
    <col width="92" customWidth="1" min="2" max="2"/>
    <col width="16" customWidth="1" min="3" max="3"/>
    <col width="16" customWidth="1" min="4" max="4"/>
  </cols>
  <sheetData>
    <row r="1" ht="24" customHeight="1">
      <c r="A1" s="1" t="inlineStr">
        <is>
          <t>FUGAS DE INFORMACIÓN Y ERRORES CORREGIDOS — la contribución metodológica</t>
        </is>
      </c>
    </row>
    <row r="3" ht="32" customHeight="1">
      <c r="A3" s="7" t="inlineStr">
        <is>
          <t>El estudio detectó la MISMA clase de error (usar información no disponible al momento de predecir) en TRES niveles independientes, y midió cada uno con datos propios. La fuga no es un accidente puntual sino un riesgo sistemático con muestras pequeñas.</t>
        </is>
      </c>
    </row>
    <row r="5">
      <c r="A5" s="4" t="inlineStr">
        <is>
          <t>Nivel</t>
        </is>
      </c>
      <c r="B5" s="4" t="inlineStr">
        <is>
          <t>Qué se filtraba</t>
        </is>
      </c>
      <c r="C5" s="4" t="inlineStr">
        <is>
          <t>Efecto medido</t>
        </is>
      </c>
      <c r="D5" s="4" t="inlineStr">
        <is>
          <t>Registro</t>
        </is>
      </c>
    </row>
    <row r="6">
      <c r="A6" s="5" t="inlineStr">
        <is>
          <t>1 · Temporal (variables)</t>
        </is>
      </c>
      <c r="B6" s="5" t="inlineStr">
        <is>
          <t>prom_global era el promedio del RESTO de la carrera: entre el 70 % y el 83 % venía de semestres POSTERIORES a la asignatura predicha</t>
        </is>
      </c>
      <c r="C6" s="5" t="inlineStr">
        <is>
          <t>AUC 0,865-0,939 → 0,70-0,74</t>
        </is>
      </c>
      <c r="D6" s="5" t="inlineStr">
        <is>
          <t>RC-013</t>
        </is>
      </c>
    </row>
    <row r="7">
      <c r="A7" s="6" t="inlineStr">
        <is>
          <t>2 · Hiperparámetros</t>
        </is>
      </c>
      <c r="B7" s="6" t="inlineStr">
        <is>
          <t>La búsqueda en malla se hacía sobre toda la muestra y luego se medía por CV: los pliegues de prueba ya habían intervenido en elegir la configuración</t>
        </is>
      </c>
      <c r="C7" s="6" t="inlineStr">
        <is>
          <t>+0,046 en XGBoost / +0,008 en RF</t>
        </is>
      </c>
      <c r="D7" s="6" t="inlineStr">
        <is>
          <t>RC-021</t>
        </is>
      </c>
    </row>
    <row r="8">
      <c r="A8" s="5" t="inlineStr">
        <is>
          <t>3 · Selección de variables</t>
        </is>
      </c>
      <c r="B8" s="5" t="inlineStr">
        <is>
          <t>El "top-5 por importancia" se elegía viendo toda la muestra y se evaluaba sobre esa misma muestra</t>
        </is>
      </c>
      <c r="C8" s="5" t="inlineStr">
        <is>
          <t>+0,150 de AUC-PR</t>
        </is>
      </c>
      <c r="D8" s="5" t="inlineStr">
        <is>
          <t>RC-030, RC-032</t>
        </is>
      </c>
    </row>
    <row r="10" ht="32" customHeight="1">
      <c r="A10" s="15" t="inlineStr">
        <is>
          <t>La fuga nº 3 se cometió DESPUÉS de haber documentado las otras dos. Ilustra mejor que cualquier argumento lo difícil que es evitarla incluso estando advertido.</t>
        </is>
      </c>
    </row>
    <row r="12">
      <c r="A12" s="3" t="inlineStr">
        <is>
          <t>Otros errores detectados y corregidos</t>
        </is>
      </c>
    </row>
    <row r="13">
      <c r="A13" s="4" t="inlineStr">
        <is>
          <t>Error</t>
        </is>
      </c>
      <c r="B13" s="4" t="inlineStr">
        <is>
          <t>Descripción y magnitud</t>
        </is>
      </c>
      <c r="C13" s="4" t="inlineStr">
        <is>
          <t>Registro</t>
        </is>
      </c>
    </row>
    <row r="14">
      <c r="A14" s="5" t="inlineStr">
        <is>
          <t>Target tautológico</t>
        </is>
      </c>
      <c r="B14" s="5" t="inlineStr">
        <is>
          <t>PROMEDIO_CARRERA incluía el 1er semestre, que era su propio predictor. Sin prom_sem1 el modelo caía a AUC 0,483 (azar)</t>
        </is>
      </c>
      <c r="C14" s="5" t="inlineStr">
        <is>
          <t>RC-012</t>
        </is>
      </c>
    </row>
    <row r="15">
      <c r="A15" s="6" t="inlineStr">
        <is>
          <t>Colisión de periodos</t>
        </is>
      </c>
      <c r="B15" s="6" t="inlineStr">
        <is>
          <t>AAAA-0 (intersemestral) se mezclaba con AAAA-2: 133 registros afectados</t>
        </is>
      </c>
      <c r="C15" s="6" t="inlineStr">
        <is>
          <t>RC-020</t>
        </is>
      </c>
    </row>
    <row r="16">
      <c r="A16" s="5" t="inlineStr">
        <is>
          <t>Presupuesto desigual</t>
        </is>
      </c>
      <c r="B16" s="5" t="inlineStr">
        <is>
          <t>Rejillas de 8 a 48 combinaciones según el algoritmo, sin regularización en XGBoost</t>
        </is>
      </c>
      <c r="C16" s="5" t="inlineStr">
        <is>
          <t>RC-025</t>
        </is>
      </c>
    </row>
    <row r="17">
      <c r="A17" s="6" t="inlineStr">
        <is>
          <t>Umbral por métrica errónea</t>
        </is>
      </c>
      <c r="B17" s="6" t="inlineStr">
        <is>
          <t>Se elegía por F1-macro (favorece umbrales altos) en vez de por recall</t>
        </is>
      </c>
      <c r="C17" s="6" t="inlineStr">
        <is>
          <t>RC-034</t>
        </is>
      </c>
    </row>
    <row r="18">
      <c r="A18" s="5" t="inlineStr">
        <is>
          <t>Curva con 1 repetición</t>
        </is>
      </c>
      <c r="B18" s="5" t="inlineStr">
        <is>
          <t>La curva de umbral usaba una sola repetición: techo falso de recall 0,684</t>
        </is>
      </c>
      <c r="C18" s="5" t="inlineStr">
        <is>
          <t>RC-034</t>
        </is>
      </c>
    </row>
    <row r="19">
      <c r="A19" s="6" t="inlineStr">
        <is>
          <t>Importancia MDI</t>
        </is>
      </c>
      <c r="B19" s="6" t="inlineStr">
        <is>
          <t>Ruido aleatorio puro capturó el 14,3 % de la importancia MDI</t>
        </is>
      </c>
      <c r="C19" s="6" t="inlineStr">
        <is>
          <t>RC-019</t>
        </is>
      </c>
    </row>
    <row r="20">
      <c r="A20" s="5" t="inlineStr">
        <is>
          <t>Diccionario mal interpretado</t>
        </is>
      </c>
      <c r="B20" s="5" t="inlineStr">
        <is>
          <t>C leída como "cancelada": se excluían 76 registros reales</t>
        </is>
      </c>
      <c r="C20" s="5" t="inlineStr">
        <is>
          <t>RC-002</t>
        </is>
      </c>
    </row>
    <row r="21">
      <c r="A21" s="6" t="inlineStr">
        <is>
          <t>Imputación post-terminal</t>
        </is>
      </c>
      <c r="B21" s="6" t="inlineStr">
        <is>
          <t>Trámites fantasma tras la graduación generaban estados imputados inválidos</t>
        </is>
      </c>
      <c r="C21" s="6" t="inlineStr">
        <is>
          <t>RC-002</t>
        </is>
      </c>
    </row>
  </sheetData>
  <mergeCells count="3">
    <mergeCell ref="A1:D1"/>
    <mergeCell ref="A3:D3"/>
    <mergeCell ref="A10:D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showGridLines="0" workbookViewId="0">
      <pane ySplit="2" topLeftCell="A3" activePane="bottomLeft" state="frozen"/>
      <selection pane="bottomLeft" activeCell="A1" sqref="A1"/>
    </sheetView>
  </sheetViews>
  <sheetFormatPr baseColWidth="8" defaultRowHeight="15"/>
  <cols>
    <col width="10" customWidth="1" min="1" max="1"/>
    <col width="12" customWidth="1" min="2" max="2"/>
    <col width="54" customWidth="1" min="3" max="3"/>
    <col width="44" customWidth="1" min="4" max="4"/>
  </cols>
  <sheetData>
    <row r="1" ht="24" customHeight="1">
      <c r="A1" s="1" t="inlineStr">
        <is>
          <t>CRONOLOGÍA DE DECISIONES — registro científico RC-012 a RC-034</t>
        </is>
      </c>
    </row>
    <row r="3">
      <c r="A3" s="4" t="inlineStr">
        <is>
          <t>RC</t>
        </is>
      </c>
      <c r="B3" s="4" t="inlineStr">
        <is>
          <t>Fecha</t>
        </is>
      </c>
      <c r="C3" s="4" t="inlineStr">
        <is>
          <t>Hallazgo</t>
        </is>
      </c>
      <c r="D3" s="4" t="inlineStr">
        <is>
          <t>Decisión adoptada</t>
        </is>
      </c>
    </row>
    <row r="4">
      <c r="A4" s="5" t="inlineStr">
        <is>
          <t>RC-012</t>
        </is>
      </c>
      <c r="B4" s="5" t="inlineStr">
        <is>
          <t>2026-09-02</t>
        </is>
      </c>
      <c r="C4" s="5" t="inlineStr">
        <is>
          <t>Target tautológico detectado</t>
        </is>
      </c>
      <c r="D4" s="5" t="inlineStr">
        <is>
          <t>Sustituir rendimiento_bajo</t>
        </is>
      </c>
    </row>
    <row r="5">
      <c r="A5" s="6" t="inlineStr">
        <is>
          <t>RC-013</t>
        </is>
      </c>
      <c r="B5" s="6" t="inlineStr">
        <is>
          <t>2026-09-02</t>
        </is>
      </c>
      <c r="C5" s="6" t="inlineStr">
        <is>
          <t>Fuga temporal en modelos por asignatura</t>
        </is>
      </c>
      <c r="D5" s="6" t="inlineStr">
        <is>
          <t>Retirarlos del proyecto</t>
        </is>
      </c>
    </row>
    <row r="6">
      <c r="A6" s="5" t="inlineStr">
        <is>
          <t>RC-014</t>
        </is>
      </c>
      <c r="B6" s="5" t="inlineStr">
        <is>
          <t>2026-09-02</t>
        </is>
      </c>
      <c r="C6" s="5" t="inlineStr">
        <is>
          <t>Incorporación del Reglamento Estudiantil</t>
        </is>
      </c>
      <c r="D6" s="5" t="inlineStr">
        <is>
          <t>Usar la definición institucional</t>
        </is>
      </c>
    </row>
    <row r="7">
      <c r="A7" s="6" t="inlineStr">
        <is>
          <t>RC-015</t>
        </is>
      </c>
      <c r="B7" s="6" t="inlineStr">
        <is>
          <t>2026-09-02</t>
        </is>
      </c>
      <c r="C7" s="6" t="inlineStr">
        <is>
          <t>Cambio de régimen 2003 → 2022</t>
        </is>
      </c>
      <c r="D7" s="6" t="inlineStr">
        <is>
          <t>Re-derivar la etiqueta; supuesto declarado</t>
        </is>
      </c>
    </row>
    <row r="8">
      <c r="A8" s="5" t="inlineStr">
        <is>
          <t>RC-016</t>
        </is>
      </c>
      <c r="B8" s="5" t="inlineStr">
        <is>
          <t>2026-09-02</t>
        </is>
      </c>
      <c r="C8" s="5" t="inlineStr">
        <is>
          <t>El ganador cambia con el target</t>
        </is>
      </c>
      <c r="D8" s="5" t="inlineStr">
        <is>
          <t>Umbral de relevancia ΔAUC ≥ 0,03</t>
        </is>
      </c>
    </row>
    <row r="9">
      <c r="A9" s="6" t="inlineStr">
        <is>
          <t>RC-017</t>
        </is>
      </c>
      <c r="B9" s="6" t="inlineStr">
        <is>
          <t>2026-09-02</t>
        </is>
      </c>
      <c r="C9" s="6" t="inlineStr">
        <is>
          <t>APROBADO: target del art. 19</t>
        </is>
      </c>
      <c r="D9" s="6" t="inlineStr">
        <is>
          <t>n=80, 19 positivos</t>
        </is>
      </c>
    </row>
    <row r="10">
      <c r="A10" s="5" t="inlineStr">
        <is>
          <t>RC-018</t>
        </is>
      </c>
      <c r="B10" s="5" t="inlineStr">
        <is>
          <t>2026-09-03</t>
        </is>
      </c>
      <c r="C10" s="5" t="inlineStr">
        <is>
          <t>Imputación de prom_sem1 corregida</t>
        </is>
      </c>
      <c r="D10" s="5" t="inlineStr">
        <is>
          <t>Indicador sin_primer_semestre</t>
        </is>
      </c>
    </row>
    <row r="11">
      <c r="A11" s="6" t="inlineStr">
        <is>
          <t>RC-019</t>
        </is>
      </c>
      <c r="B11" s="6" t="inlineStr">
        <is>
          <t>2026-09-03</t>
        </is>
      </c>
      <c r="C11" s="6" t="inlineStr">
        <is>
          <t>Verificación de I-2; MDI engañosa</t>
        </is>
      </c>
      <c r="D11" s="6" t="inlineStr">
        <is>
          <t>Usar permutación, no MDI</t>
        </is>
      </c>
    </row>
    <row r="12">
      <c r="A12" s="5" t="inlineStr">
        <is>
          <t>RC-020</t>
        </is>
      </c>
      <c r="B12" s="5" t="inlineStr">
        <is>
          <t>2026-09-03</t>
        </is>
      </c>
      <c r="C12" s="5" t="inlineStr">
        <is>
          <t>Target implementado; colisión de periodos</t>
        </is>
      </c>
      <c r="D12" s="5" t="inlineStr">
        <is>
          <t>19 positivos, 0 dudosos</t>
        </is>
      </c>
    </row>
    <row r="13">
      <c r="A13" s="6" t="inlineStr">
        <is>
          <t>RC-021</t>
        </is>
      </c>
      <c r="B13" s="6" t="inlineStr">
        <is>
          <t>2026-09-03</t>
        </is>
      </c>
      <c r="C13" s="6" t="inlineStr">
        <is>
          <t>Sesgo por CV no anidada</t>
        </is>
      </c>
      <c r="D13" s="6" t="inlineStr">
        <is>
          <t>Validación anidada obligatoria</t>
        </is>
      </c>
    </row>
    <row r="14">
      <c r="A14" s="5" t="inlineStr">
        <is>
          <t>RC-022</t>
        </is>
      </c>
      <c r="B14" s="5" t="inlineStr">
        <is>
          <t>2026-09-03</t>
        </is>
      </c>
      <c r="C14" s="5" t="inlineStr">
        <is>
          <t>Modelos por asignatura retirados</t>
        </is>
      </c>
      <c r="D14" s="5" t="inlineStr">
        <is>
          <t>Índice de criticidad conservado</t>
        </is>
      </c>
    </row>
    <row r="15">
      <c r="A15" s="6" t="inlineStr">
        <is>
          <t>RC-023</t>
        </is>
      </c>
      <c r="B15" s="6" t="inlineStr">
        <is>
          <t>2026-09-03</t>
        </is>
      </c>
      <c r="C15" s="6" t="inlineStr">
        <is>
          <t>I-3: empate técnico a 3 bandas</t>
        </is>
      </c>
      <c r="D15" s="6" t="inlineStr">
        <is>
          <t>RF con desviación declarada</t>
        </is>
      </c>
    </row>
    <row r="16">
      <c r="A16" s="5" t="inlineStr">
        <is>
          <t>RC-024</t>
        </is>
      </c>
      <c r="B16" s="5" t="inlineStr">
        <is>
          <t>2026-09-15</t>
        </is>
      </c>
      <c r="C16" s="5" t="inlineStr">
        <is>
          <t>No hubo selección empírica de variables</t>
        </is>
      </c>
      <c r="D16" s="5" t="inlineStr">
        <is>
          <t>Implementar WP-OE1.2</t>
        </is>
      </c>
    </row>
    <row r="17">
      <c r="A17" s="6" t="inlineStr">
        <is>
          <t>RC-025</t>
        </is>
      </c>
      <c r="B17" s="6" t="inlineStr">
        <is>
          <t>2026-09-15</t>
        </is>
      </c>
      <c r="C17" s="6" t="inlineStr">
        <is>
          <t>Presupuesto de rejilla desigual</t>
        </is>
      </c>
      <c r="D17" s="6" t="inlineStr">
        <is>
          <t>Equilibrar a 16-24 combinaciones</t>
        </is>
      </c>
    </row>
    <row r="18">
      <c r="A18" s="5" t="inlineStr">
        <is>
          <t>RC-026</t>
        </is>
      </c>
      <c r="B18" s="5" t="inlineStr">
        <is>
          <t>2026-09-15</t>
        </is>
      </c>
      <c r="C18" s="5" t="inlineStr">
        <is>
          <t>El error se estimaba solo por CV</t>
        </is>
      </c>
      <c r="D18" s="5" t="inlineStr">
        <is>
          <t>Añadir .632+ y curvas</t>
        </is>
      </c>
    </row>
    <row r="19">
      <c r="A19" s="6" t="inlineStr">
        <is>
          <t>RC-027</t>
        </is>
      </c>
      <c r="B19" s="6" t="inlineStr">
        <is>
          <t>2026-09-15</t>
        </is>
      </c>
      <c r="C19" s="6" t="inlineStr">
        <is>
          <t>Instrumentación de bitácora</t>
        </is>
      </c>
      <c r="D19" s="6" t="inlineStr">
        <is>
          <t>Métricas por repetición</t>
        </is>
      </c>
    </row>
    <row r="20">
      <c r="A20" s="5" t="inlineStr">
        <is>
          <t>RC-028</t>
        </is>
      </c>
      <c r="B20" s="5" t="inlineStr">
        <is>
          <t>2026-09-15</t>
        </is>
      </c>
      <c r="C20" s="5" t="inlineStr">
        <is>
          <t>Resultados de selección de variables</t>
        </is>
      </c>
      <c r="D20" s="5" t="inlineStr">
        <is>
          <t>[CORREGIDO por RC-030]</t>
        </is>
      </c>
    </row>
    <row r="21">
      <c r="A21" s="6" t="inlineStr">
        <is>
          <t>RC-029</t>
        </is>
      </c>
      <c r="B21" s="6" t="inlineStr">
        <is>
          <t>2026-09-15</t>
        </is>
      </c>
      <c r="C21" s="6" t="inlineStr">
        <is>
          <t>Diagnóstico de error</t>
        </is>
      </c>
      <c r="D21" s="6" t="inlineStr">
        <is>
          <t>Limitado por datos, no por sesgo</t>
        </is>
      </c>
    </row>
    <row r="22">
      <c r="A22" s="5" t="inlineStr">
        <is>
          <t>RC-030</t>
        </is>
      </c>
      <c r="B22" s="5" t="inlineStr">
        <is>
          <t>2026-09-15</t>
        </is>
      </c>
      <c r="C22" s="5" t="inlineStr">
        <is>
          <t>Sesgo de selección detectado</t>
        </is>
      </c>
      <c r="D22" s="5" t="inlineStr">
        <is>
          <t>Retirar el subconjunto S6</t>
        </is>
      </c>
    </row>
    <row r="23">
      <c r="A23" s="6" t="inlineStr">
        <is>
          <t>RC-031</t>
        </is>
      </c>
      <c r="B23" s="6" t="inlineStr">
        <is>
          <t>2026-09-15</t>
        </is>
      </c>
      <c r="C23" s="6" t="inlineStr">
        <is>
          <t>Regularización contraproducente</t>
        </is>
      </c>
      <c r="D23" s="6" t="inlineStr">
        <is>
          <t>min_child_weight = 1</t>
        </is>
      </c>
    </row>
    <row r="24">
      <c r="A24" s="5" t="inlineStr">
        <is>
          <t>RC-032</t>
        </is>
      </c>
      <c r="B24" s="5" t="inlineStr">
        <is>
          <t>2026-09-15</t>
        </is>
      </c>
      <c r="C24" s="5" t="inlineStr">
        <is>
          <t>Sesgo medido: +0,150 de AUC-PR</t>
        </is>
      </c>
      <c r="D24" s="5" t="inlineStr">
        <is>
          <t>Conjunto definitivo = S3</t>
        </is>
      </c>
    </row>
    <row r="25">
      <c r="A25" s="6" t="inlineStr">
        <is>
          <t>RC-033</t>
        </is>
      </c>
      <c r="B25" s="6" t="inlineStr">
        <is>
          <t>2026-09-15</t>
        </is>
      </c>
      <c r="C25" s="6" t="inlineStr">
        <is>
          <t>I-3 bis: Random Forest gana 0,745</t>
        </is>
      </c>
      <c r="D25" s="6" t="inlineStr">
        <is>
          <t>Sin desviación del protocolo</t>
        </is>
      </c>
    </row>
    <row r="26">
      <c r="A26" s="5" t="inlineStr">
        <is>
          <t>RC-034</t>
        </is>
      </c>
      <c r="B26" s="5" t="inlineStr">
        <is>
          <t>2026-09-15</t>
        </is>
      </c>
      <c r="C26" s="5" t="inlineStr">
        <is>
          <t>Umbral corregido</t>
        </is>
      </c>
      <c r="D26" s="5" t="inlineStr">
        <is>
          <t>Criterio de máxima detección</t>
        </is>
      </c>
    </row>
    <row r="28" ht="32" customHeight="1">
      <c r="A28" s="12" t="inlineStr">
        <is>
          <t>Detalle completo de cada entrada en REGISTRO_CIENTIFICO.md. Análisis extendido en AUDITORIA_2026-09.md.</t>
        </is>
      </c>
    </row>
  </sheetData>
  <mergeCells count="2">
    <mergeCell ref="A1:D1"/>
    <mergeCell ref="A28:D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9"/>
  <sheetViews>
    <sheetView showGridLines="0" workbookViewId="0">
      <pane ySplit="2" topLeftCell="A3" activePane="bottomLeft" state="frozen"/>
      <selection pane="bottomLeft" activeCell="A1" sqref="A1"/>
    </sheetView>
  </sheetViews>
  <sheetFormatPr baseColWidth="8" defaultRowHeight="15"/>
  <cols>
    <col width="18" customWidth="1" min="1" max="1"/>
    <col width="13" customWidth="1" min="2" max="2"/>
    <col width="18" customWidth="1" min="3" max="3"/>
    <col width="28" customWidth="1" min="4" max="4"/>
    <col width="20" customWidth="1" min="5" max="5"/>
    <col width="18" customWidth="1" min="6" max="6"/>
    <col width="12" customWidth="1" min="7" max="7"/>
    <col width="17" customWidth="1" min="8" max="8"/>
  </cols>
  <sheetData>
    <row r="1" ht="24" customHeight="1">
      <c r="A1" s="1" t="inlineStr">
        <is>
          <t>VERIFICACIÓN FCBI — ¿aplica a Electrónica y Biología? ¿son mezclables?</t>
        </is>
      </c>
    </row>
    <row r="3">
      <c r="A3" s="3" t="inlineStr">
        <is>
          <t>A · Cobertura y llaves por programa</t>
        </is>
      </c>
    </row>
    <row r="4">
      <c r="A4" s="4" t="inlineStr">
        <is>
          <t>Programa</t>
        </is>
      </c>
      <c r="B4" s="4" t="inlineStr">
        <is>
          <t>Caracterización</t>
        </is>
      </c>
      <c r="C4" s="4" t="inlineStr">
        <is>
          <t>En historial</t>
        </is>
      </c>
      <c r="D4" s="4" t="inlineStr">
        <is>
          <t>Con notas</t>
        </is>
      </c>
      <c r="E4" s="4" t="inlineStr">
        <is>
          <t>Con prom. carrera</t>
        </is>
      </c>
      <c r="F4" s="4" t="inlineStr">
        <is>
          <t>Con prom. semestre</t>
        </is>
      </c>
      <c r="G4" s="4" t="inlineStr">
        <is>
          <t>Pérdida hasta prom. carrera</t>
        </is>
      </c>
    </row>
    <row r="5">
      <c r="A5" s="5" t="inlineStr">
        <is>
          <t>Sistemas</t>
        </is>
      </c>
      <c r="B5" s="5" t="n">
        <v>95</v>
      </c>
      <c r="C5" s="5" t="n">
        <v>95</v>
      </c>
      <c r="D5" s="5" t="n">
        <v>90</v>
      </c>
      <c r="E5" s="5" t="n">
        <v>90</v>
      </c>
      <c r="F5" s="5" t="n">
        <v>90</v>
      </c>
      <c r="G5" s="5" t="n">
        <v>5</v>
      </c>
    </row>
    <row r="6">
      <c r="A6" s="6" t="inlineStr">
        <is>
          <t>Electrónica</t>
        </is>
      </c>
      <c r="B6" s="6" t="n">
        <v>95</v>
      </c>
      <c r="C6" s="6" t="n">
        <v>94</v>
      </c>
      <c r="D6" s="6" t="n">
        <v>91</v>
      </c>
      <c r="E6" s="6" t="n">
        <v>91</v>
      </c>
      <c r="F6" s="6" t="n">
        <v>91</v>
      </c>
      <c r="G6" s="6" t="n">
        <v>4</v>
      </c>
    </row>
    <row r="7">
      <c r="A7" s="5" t="inlineStr">
        <is>
          <t>Biología</t>
        </is>
      </c>
      <c r="B7" s="5" t="n">
        <v>85</v>
      </c>
      <c r="C7" s="5" t="n">
        <v>83</v>
      </c>
      <c r="D7" s="5" t="n">
        <v>81</v>
      </c>
      <c r="E7" s="5" t="n">
        <v>81</v>
      </c>
      <c r="F7" s="5" t="n">
        <v>81</v>
      </c>
      <c r="G7" s="5" t="n">
        <v>4</v>
      </c>
    </row>
    <row r="9" ht="32" customHeight="1">
      <c r="A9" s="12" t="inlineStr">
        <is>
          <t>Pérdida homogénea del 4,7 % en los tres programas, por la misma causa: admitidos sin actividad académica calificada. No hay un problema de calidad específico de Electrónica o Biología.</t>
        </is>
      </c>
    </row>
    <row r="11">
      <c r="A11" s="3" t="inlineStr">
        <is>
          <t>B · Target del art. 19 aplicado a los tres programas</t>
        </is>
      </c>
    </row>
    <row r="12">
      <c r="A12" s="4" t="inlineStr">
        <is>
          <t>Programa</t>
        </is>
      </c>
      <c r="B12" s="4" t="inlineStr">
        <is>
          <t>Expuestos (con notas)</t>
        </is>
      </c>
      <c r="C12" s="4" t="inlineStr">
        <is>
          <t>Positivos art. 19</t>
        </is>
      </c>
      <c r="D12" s="4" t="inlineStr">
        <is>
          <t>Prevalencia</t>
        </is>
      </c>
      <c r="E12" s="4" t="inlineStr">
        <is>
          <t>Eventos en sem. 1</t>
        </is>
      </c>
      <c r="F12" s="4" t="inlineStr">
        <is>
          <t>Eventos en sem. &gt;=2</t>
        </is>
      </c>
    </row>
    <row r="13">
      <c r="A13" s="5" t="inlineStr">
        <is>
          <t>Sistemas</t>
        </is>
      </c>
      <c r="B13" s="5" t="n">
        <v>80</v>
      </c>
      <c r="C13" s="5" t="n">
        <v>19</v>
      </c>
      <c r="D13" s="33" t="n">
        <v>0.238</v>
      </c>
      <c r="E13" s="5" t="n">
        <v>8</v>
      </c>
      <c r="F13" s="5" t="n">
        <v>11</v>
      </c>
    </row>
    <row r="14">
      <c r="A14" s="9" t="inlineStr">
        <is>
          <t>Electrónica</t>
        </is>
      </c>
      <c r="B14" s="9" t="n">
        <v>73</v>
      </c>
      <c r="C14" s="9" t="n">
        <v>23</v>
      </c>
      <c r="D14" s="34" t="n">
        <v>0.315</v>
      </c>
      <c r="E14" s="9" t="n">
        <v>11</v>
      </c>
      <c r="F14" s="9" t="n">
        <v>12</v>
      </c>
    </row>
    <row r="15">
      <c r="A15" s="5" t="inlineStr">
        <is>
          <t>Biología</t>
        </is>
      </c>
      <c r="B15" s="5" t="n">
        <v>81</v>
      </c>
      <c r="C15" s="5" t="n">
        <v>17</v>
      </c>
      <c r="D15" s="33" t="n">
        <v>0.21</v>
      </c>
      <c r="E15" s="5" t="n">
        <v>7</v>
      </c>
      <c r="F15" s="5" t="n">
        <v>10</v>
      </c>
    </row>
    <row r="17" ht="32" customHeight="1">
      <c r="A17" s="7" t="inlineStr">
        <is>
          <t>El target aplica a los tres. FCBI: 59 positivos de 234 expuestos (25,2 %). Electrónica tiene la mayor prevalencia (31,5 %). El 44 % de los eventos ocurre en el primer semestre, con proporciones casi idénticas entre programas: es un patrón ESTRUCTURAL, no una peculiaridad de Sistemas.</t>
        </is>
      </c>
    </row>
    <row r="19">
      <c r="A19" s="3" t="inlineStr">
        <is>
          <t>C · EDA comparativo — ¿son mezclables?</t>
        </is>
      </c>
    </row>
    <row r="20">
      <c r="A20" s="4" t="inlineStr">
        <is>
          <t>Programa</t>
        </is>
      </c>
      <c r="B20" s="4" t="inlineStr">
        <is>
          <t>n</t>
        </is>
      </c>
      <c r="C20" s="4" t="inlineStr">
        <is>
          <t>Mujeres</t>
        </is>
      </c>
      <c r="D20" s="4" t="inlineStr">
        <is>
          <t>Estrato medio</t>
        </is>
      </c>
      <c r="E20" s="4" t="inlineStr">
        <is>
          <t>Prom. carrera medio</t>
        </is>
      </c>
      <c r="F20" s="4" t="inlineStr">
        <is>
          <t>Prom. carrera sd</t>
        </is>
      </c>
      <c r="G20" s="4" t="inlineStr">
        <is>
          <t>Graduados</t>
        </is>
      </c>
      <c r="H20" s="4" t="inlineStr">
        <is>
          <t>Tasa graduación</t>
        </is>
      </c>
    </row>
    <row r="21">
      <c r="A21" s="5" t="inlineStr">
        <is>
          <t>Sistemas</t>
        </is>
      </c>
      <c r="B21" s="5" t="n">
        <v>95</v>
      </c>
      <c r="C21" s="33" t="n">
        <v>0.158</v>
      </c>
      <c r="D21" s="5" t="n">
        <v>1.94</v>
      </c>
      <c r="E21" s="26" t="n">
        <v>3.083</v>
      </c>
      <c r="F21" s="26" t="n">
        <v>0.856</v>
      </c>
      <c r="G21" s="5" t="n">
        <v>35</v>
      </c>
      <c r="H21" s="33" t="n">
        <v>0.368</v>
      </c>
    </row>
    <row r="22">
      <c r="A22" s="6" t="inlineStr">
        <is>
          <t>Electrónica</t>
        </is>
      </c>
      <c r="B22" s="6" t="n">
        <v>95</v>
      </c>
      <c r="C22" s="35" t="n">
        <v>0.074</v>
      </c>
      <c r="D22" s="6" t="n">
        <v>2.08</v>
      </c>
      <c r="E22" s="28" t="n">
        <v>3.036</v>
      </c>
      <c r="F22" s="28" t="n">
        <v>0.969</v>
      </c>
      <c r="G22" s="6" t="n">
        <v>25</v>
      </c>
      <c r="H22" s="35" t="n">
        <v>0.263</v>
      </c>
    </row>
    <row r="23">
      <c r="A23" s="9" t="inlineStr">
        <is>
          <t>Biología</t>
        </is>
      </c>
      <c r="B23" s="9" t="n">
        <v>85</v>
      </c>
      <c r="C23" s="34" t="n">
        <v>0.647</v>
      </c>
      <c r="D23" s="9" t="n">
        <v>2.02</v>
      </c>
      <c r="E23" s="30" t="n">
        <v>2.702</v>
      </c>
      <c r="F23" s="30" t="n">
        <v>0.868</v>
      </c>
      <c r="G23" s="9" t="n">
        <v>6</v>
      </c>
      <c r="H23" s="34" t="n">
        <v>0.07099999999999999</v>
      </c>
    </row>
    <row r="25" ht="32" customHeight="1">
      <c r="A25" s="15" t="inlineStr">
        <is>
          <t>⚠ BIOLOGÍA ES UNA POBLACIÓN DISTINTA: 64,7 % de mujeres (vs 15,8 % y 7,4 %), Saber 11 unos 10 puntos por debajo, promedio de carrera 2,702 (vs 3,083 y 3,036). Sistemas y Electrónica sí son comparables entre sí.</t>
        </is>
      </c>
    </row>
    <row r="26" ht="32" customHeight="1">
      <c r="A26" s="15" t="inlineStr">
        <is>
          <t>⚠ La tasa de graduación de Biología (7,1 %) está SESGADA POR CENSURA: 15 estudiantes (18 %) siguen matriculados y su desenlace no se conoce. Sistemas y Electrónica tienen cero. La desventaja real existe, pero esa cifra no debe reportarse sin la advertencia.</t>
        </is>
      </c>
    </row>
    <row r="28">
      <c r="A28" s="3" t="inlineStr">
        <is>
          <t>D · Viabilidad de cortes longitudinales con la muestra FCBI completa</t>
        </is>
      </c>
    </row>
    <row r="29">
      <c r="A29" s="4" t="inlineStr">
        <is>
          <t>Corte (semestre)</t>
        </is>
      </c>
      <c r="B29" s="4" t="inlineStr">
        <is>
          <t>En riesgo</t>
        </is>
      </c>
      <c r="C29" s="4" t="inlineStr">
        <is>
          <t>Eventos futuros</t>
        </is>
      </c>
      <c r="D29" s="4" t="inlineStr">
        <is>
          <t>Modelable (n&gt;=60 y ev&gt;=15)</t>
        </is>
      </c>
    </row>
    <row r="30">
      <c r="A30" s="9" t="n">
        <v>1</v>
      </c>
      <c r="B30" s="9" t="n">
        <v>208</v>
      </c>
      <c r="C30" s="9" t="n">
        <v>33</v>
      </c>
      <c r="D30" s="9" t="inlineStr">
        <is>
          <t>Sí</t>
        </is>
      </c>
    </row>
    <row r="31">
      <c r="A31" s="9" t="n">
        <v>2</v>
      </c>
      <c r="B31" s="9" t="n">
        <v>173</v>
      </c>
      <c r="C31" s="9" t="n">
        <v>19</v>
      </c>
      <c r="D31" s="9" t="inlineStr">
        <is>
          <t>Sí</t>
        </is>
      </c>
    </row>
    <row r="32">
      <c r="A32" s="9" t="n">
        <v>3</v>
      </c>
      <c r="B32" s="9" t="n">
        <v>147</v>
      </c>
      <c r="C32" s="9" t="n">
        <v>16</v>
      </c>
      <c r="D32" s="9" t="inlineStr">
        <is>
          <t>Sí</t>
        </is>
      </c>
    </row>
    <row r="33">
      <c r="A33" s="6" t="n">
        <v>4</v>
      </c>
      <c r="B33" s="6" t="n">
        <v>107</v>
      </c>
      <c r="C33" s="6" t="n">
        <v>8</v>
      </c>
      <c r="D33" s="6" t="inlineStr">
        <is>
          <t>No</t>
        </is>
      </c>
    </row>
    <row r="34">
      <c r="A34" s="5" t="n">
        <v>5</v>
      </c>
      <c r="B34" s="5" t="n">
        <v>93</v>
      </c>
      <c r="C34" s="5" t="n">
        <v>4</v>
      </c>
      <c r="D34" s="5" t="inlineStr">
        <is>
          <t>No</t>
        </is>
      </c>
    </row>
    <row r="35">
      <c r="A35" s="6" t="n">
        <v>6</v>
      </c>
      <c r="B35" s="6" t="n">
        <v>90</v>
      </c>
      <c r="C35" s="6" t="n">
        <v>4</v>
      </c>
      <c r="D35" s="6" t="inlineStr">
        <is>
          <t>No</t>
        </is>
      </c>
    </row>
    <row r="36">
      <c r="A36" s="5" t="n">
        <v>7</v>
      </c>
      <c r="B36" s="5" t="n">
        <v>86</v>
      </c>
      <c r="C36" s="5" t="n">
        <v>4</v>
      </c>
      <c r="D36" s="5" t="inlineStr">
        <is>
          <t>No</t>
        </is>
      </c>
    </row>
    <row r="37">
      <c r="A37" s="6" t="n">
        <v>8</v>
      </c>
      <c r="B37" s="6" t="n">
        <v>81</v>
      </c>
      <c r="C37" s="6" t="n">
        <v>4</v>
      </c>
      <c r="D37" s="6" t="inlineStr">
        <is>
          <t>No</t>
        </is>
      </c>
    </row>
    <row r="39" ht="32" customHeight="1">
      <c r="A39" s="23" t="inlineStr">
        <is>
          <t>DESBLOQUEO: con Sistemas solo, NINGÚN corte era modelable (11, 9, 9, 5, 3 eventos). Con la FCBI completa, los cortes 1, 2 y 3 superan el filtro de RC-008 (33, 19 y 16 eventos). La ampliación de la muestra era el prerrequisito del diseño longitudinal, no una alternativa a él.</t>
        </is>
      </c>
    </row>
  </sheetData>
  <mergeCells count="6">
    <mergeCell ref="A1:G1"/>
    <mergeCell ref="A17:G17"/>
    <mergeCell ref="A9:G9"/>
    <mergeCell ref="A39:G39"/>
    <mergeCell ref="A26:G26"/>
    <mergeCell ref="A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6"/>
  <sheetViews>
    <sheetView showGridLines="0" workbookViewId="0">
      <pane ySplit="2" topLeftCell="A3" activePane="bottomLeft" state="frozen"/>
      <selection pane="bottomLeft" activeCell="A1" sqref="A1"/>
    </sheetView>
  </sheetViews>
  <sheetFormatPr baseColWidth="8" defaultRowHeight="15"/>
  <cols>
    <col width="46" customWidth="1" min="1" max="1"/>
    <col width="52" customWidth="1" min="2" max="2"/>
    <col width="10" customWidth="1" min="3" max="3"/>
    <col width="11" customWidth="1" min="4" max="4"/>
    <col width="17" customWidth="1" min="5" max="5"/>
    <col width="13" customWidth="1" min="6" max="6"/>
    <col width="10" customWidth="1" min="7" max="7"/>
    <col width="22" customWidth="1" min="8" max="8"/>
  </cols>
  <sheetData>
    <row r="1" ht="24" customHeight="1">
      <c r="A1" s="1" t="inlineStr">
        <is>
          <t>BLOQUE A — PCA COMO RESPALDO DE LA SELECCIÓN DE VARIABLES</t>
        </is>
      </c>
    </row>
    <row r="2">
      <c r="A2" t="inlineStr">
        <is>
          <t>Encargo del asesor, 2026-09-29 · protocolo idéntico a I-3 bis (CV-5 anidada, 10 repeticiones, n=80, 19 positivos)</t>
        </is>
      </c>
    </row>
    <row r="4">
      <c r="A4" s="3" t="inlineStr">
        <is>
          <t>LO PRIMERO: QUÉ PUEDE Y QUÉ NO PUEDE DEMOSTRAR EL PCA</t>
        </is>
      </c>
    </row>
    <row r="5" ht="32" customHeight="1">
      <c r="A5" s="7" t="inlineStr">
        <is>
          <t>El PCA es NO SUPERVISADO: busca direcciones de máxima varianza en las variables, sin mirar nunca el resultado que se quiere predecir. Por construcción NO puede demostrar que un conjunto de variables sea el mejor para predecir. Sirve para (a) medir redundancia y (b) generar una representación alternativa que SÍ se puede comparar en capacidad predictiva. Eso último es lo que se hace en la sección C.</t>
        </is>
      </c>
    </row>
    <row r="7">
      <c r="A7" s="3" t="inlineStr">
        <is>
          <t>A · Estructura de varianza de las 19 variables</t>
        </is>
      </c>
    </row>
    <row r="8">
      <c r="A8" s="4" t="inlineStr">
        <is>
          <t>Componente</t>
        </is>
      </c>
      <c r="B8" s="4" t="inlineStr">
        <is>
          <t>Autovalor</t>
        </is>
      </c>
      <c r="C8" s="4" t="inlineStr">
        <is>
          <t>% varianza</t>
        </is>
      </c>
      <c r="D8" s="4" t="inlineStr">
        <is>
          <t>% acumulado</t>
        </is>
      </c>
      <c r="E8" s="4" t="inlineStr">
        <is>
          <t>Kaiser (autovalor&gt;1)</t>
        </is>
      </c>
    </row>
    <row r="9">
      <c r="A9" s="5" t="inlineStr">
        <is>
          <t>CP1</t>
        </is>
      </c>
      <c r="B9" s="26" t="n">
        <v>3.6032</v>
      </c>
      <c r="C9" s="18" t="n">
        <v>18.73</v>
      </c>
      <c r="D9" s="18" t="n">
        <v>18.73</v>
      </c>
      <c r="E9" s="5" t="inlineStr">
        <is>
          <t>sí</t>
        </is>
      </c>
    </row>
    <row r="10">
      <c r="A10" s="6" t="inlineStr">
        <is>
          <t>CP2</t>
        </is>
      </c>
      <c r="B10" s="28" t="n">
        <v>2.5773</v>
      </c>
      <c r="C10" s="19" t="n">
        <v>13.4</v>
      </c>
      <c r="D10" s="19" t="n">
        <v>32.12</v>
      </c>
      <c r="E10" s="6" t="inlineStr">
        <is>
          <t>sí</t>
        </is>
      </c>
    </row>
    <row r="11">
      <c r="A11" s="5" t="inlineStr">
        <is>
          <t>CP3</t>
        </is>
      </c>
      <c r="B11" s="26" t="n">
        <v>1.6053</v>
      </c>
      <c r="C11" s="18" t="n">
        <v>8.34</v>
      </c>
      <c r="D11" s="18" t="n">
        <v>40.47</v>
      </c>
      <c r="E11" s="5" t="inlineStr">
        <is>
          <t>sí</t>
        </is>
      </c>
    </row>
    <row r="12">
      <c r="A12" s="6" t="inlineStr">
        <is>
          <t>CP4</t>
        </is>
      </c>
      <c r="B12" s="28" t="n">
        <v>1.4894</v>
      </c>
      <c r="C12" s="19" t="n">
        <v>7.74</v>
      </c>
      <c r="D12" s="19" t="n">
        <v>48.21</v>
      </c>
      <c r="E12" s="6" t="inlineStr">
        <is>
          <t>sí</t>
        </is>
      </c>
    </row>
    <row r="13">
      <c r="A13" s="5" t="inlineStr">
        <is>
          <t>CP5</t>
        </is>
      </c>
      <c r="B13" s="26" t="n">
        <v>1.2417</v>
      </c>
      <c r="C13" s="18" t="n">
        <v>6.45</v>
      </c>
      <c r="D13" s="18" t="n">
        <v>54.66</v>
      </c>
      <c r="E13" s="5" t="inlineStr">
        <is>
          <t>sí</t>
        </is>
      </c>
    </row>
    <row r="14">
      <c r="A14" s="6" t="inlineStr">
        <is>
          <t>CP6</t>
        </is>
      </c>
      <c r="B14" s="28" t="n">
        <v>1.1588</v>
      </c>
      <c r="C14" s="19" t="n">
        <v>6.02</v>
      </c>
      <c r="D14" s="19" t="n">
        <v>60.68</v>
      </c>
      <c r="E14" s="6" t="inlineStr">
        <is>
          <t>sí</t>
        </is>
      </c>
    </row>
    <row r="15">
      <c r="A15" s="5" t="inlineStr">
        <is>
          <t>CP7</t>
        </is>
      </c>
      <c r="B15" s="26" t="n">
        <v>1.0307</v>
      </c>
      <c r="C15" s="18" t="n">
        <v>5.36</v>
      </c>
      <c r="D15" s="18" t="n">
        <v>66.04000000000001</v>
      </c>
      <c r="E15" s="5" t="inlineStr">
        <is>
          <t>sí</t>
        </is>
      </c>
    </row>
    <row r="16">
      <c r="A16" s="6" t="inlineStr">
        <is>
          <t>CP8</t>
        </is>
      </c>
      <c r="B16" s="28" t="n">
        <v>0.9635</v>
      </c>
      <c r="C16" s="19" t="n">
        <v>5.01</v>
      </c>
      <c r="D16" s="19" t="n">
        <v>71.05</v>
      </c>
      <c r="E16" s="6" t="inlineStr">
        <is>
          <t>no</t>
        </is>
      </c>
    </row>
    <row r="17">
      <c r="A17" s="5" t="inlineStr">
        <is>
          <t>CP9</t>
        </is>
      </c>
      <c r="B17" s="26" t="n">
        <v>0.8823</v>
      </c>
      <c r="C17" s="18" t="n">
        <v>4.59</v>
      </c>
      <c r="D17" s="18" t="n">
        <v>75.63</v>
      </c>
      <c r="E17" s="5" t="inlineStr">
        <is>
          <t>no</t>
        </is>
      </c>
    </row>
    <row r="18">
      <c r="A18" s="6" t="inlineStr">
        <is>
          <t>CP10</t>
        </is>
      </c>
      <c r="B18" s="28" t="n">
        <v>0.864</v>
      </c>
      <c r="C18" s="19" t="n">
        <v>4.49</v>
      </c>
      <c r="D18" s="19" t="n">
        <v>80.12</v>
      </c>
      <c r="E18" s="6" t="inlineStr">
        <is>
          <t>no</t>
        </is>
      </c>
    </row>
    <row r="19">
      <c r="A19" s="5" t="inlineStr">
        <is>
          <t>CP11</t>
        </is>
      </c>
      <c r="B19" s="26" t="n">
        <v>0.7634</v>
      </c>
      <c r="C19" s="18" t="n">
        <v>3.97</v>
      </c>
      <c r="D19" s="18" t="n">
        <v>84.09</v>
      </c>
      <c r="E19" s="5" t="inlineStr">
        <is>
          <t>no</t>
        </is>
      </c>
    </row>
    <row r="20">
      <c r="A20" s="6" t="inlineStr">
        <is>
          <t>CP12</t>
        </is>
      </c>
      <c r="B20" s="28" t="n">
        <v>0.7401</v>
      </c>
      <c r="C20" s="19" t="n">
        <v>3.85</v>
      </c>
      <c r="D20" s="19" t="n">
        <v>87.94</v>
      </c>
      <c r="E20" s="6" t="inlineStr">
        <is>
          <t>no</t>
        </is>
      </c>
    </row>
    <row r="21">
      <c r="A21" s="5" t="inlineStr">
        <is>
          <t>CP13</t>
        </is>
      </c>
      <c r="B21" s="26" t="n">
        <v>0.5917</v>
      </c>
      <c r="C21" s="18" t="n">
        <v>3.08</v>
      </c>
      <c r="D21" s="18" t="n">
        <v>91.01000000000001</v>
      </c>
      <c r="E21" s="5" t="inlineStr">
        <is>
          <t>no</t>
        </is>
      </c>
    </row>
    <row r="22">
      <c r="A22" s="6" t="inlineStr">
        <is>
          <t>CP14</t>
        </is>
      </c>
      <c r="B22" s="28" t="n">
        <v>0.5184</v>
      </c>
      <c r="C22" s="19" t="n">
        <v>2.69</v>
      </c>
      <c r="D22" s="19" t="n">
        <v>93.70999999999999</v>
      </c>
      <c r="E22" s="6" t="inlineStr">
        <is>
          <t>no</t>
        </is>
      </c>
    </row>
    <row r="23">
      <c r="A23" s="5" t="inlineStr">
        <is>
          <t>CP15</t>
        </is>
      </c>
      <c r="B23" s="26" t="n">
        <v>0.4513</v>
      </c>
      <c r="C23" s="18" t="n">
        <v>2.35</v>
      </c>
      <c r="D23" s="18" t="n">
        <v>96.05</v>
      </c>
      <c r="E23" s="5" t="inlineStr">
        <is>
          <t>no</t>
        </is>
      </c>
    </row>
    <row r="24">
      <c r="A24" s="6" t="inlineStr">
        <is>
          <t>CP16</t>
        </is>
      </c>
      <c r="B24" s="28" t="n">
        <v>0.3744</v>
      </c>
      <c r="C24" s="19" t="n">
        <v>1.95</v>
      </c>
      <c r="D24" s="19" t="n">
        <v>98</v>
      </c>
      <c r="E24" s="6" t="inlineStr">
        <is>
          <t>no</t>
        </is>
      </c>
    </row>
    <row r="25">
      <c r="A25" s="5" t="inlineStr">
        <is>
          <t>CP17</t>
        </is>
      </c>
      <c r="B25" s="26" t="n">
        <v>0.239</v>
      </c>
      <c r="C25" s="18" t="n">
        <v>1.24</v>
      </c>
      <c r="D25" s="18" t="n">
        <v>99.23999999999999</v>
      </c>
      <c r="E25" s="5" t="inlineStr">
        <is>
          <t>no</t>
        </is>
      </c>
    </row>
    <row r="26">
      <c r="A26" s="6" t="inlineStr">
        <is>
          <t>CP18</t>
        </is>
      </c>
      <c r="B26" s="28" t="n">
        <v>0.07439999999999999</v>
      </c>
      <c r="C26" s="19" t="n">
        <v>0.39</v>
      </c>
      <c r="D26" s="19" t="n">
        <v>99.63</v>
      </c>
      <c r="E26" s="6" t="inlineStr">
        <is>
          <t>no</t>
        </is>
      </c>
    </row>
    <row r="27">
      <c r="A27" s="5" t="inlineStr">
        <is>
          <t>CP19</t>
        </is>
      </c>
      <c r="B27" s="26" t="n">
        <v>0.07149999999999999</v>
      </c>
      <c r="C27" s="18" t="n">
        <v>0.37</v>
      </c>
      <c r="D27" s="18" t="n">
        <v>100</v>
      </c>
      <c r="E27" s="5" t="inlineStr">
        <is>
          <t>no</t>
        </is>
      </c>
    </row>
    <row r="29" ht="32" customHeight="1">
      <c r="A29" s="12" t="inlineStr">
        <is>
          <t>Hacen falta 13 de 19 componentes para explicar el 90 % de la varianza (10 para el 80 %, 15 para el 95 %). Las 19 variables NO son fuertemente redundantes: ocupan muchas dimensiones reales. Pero esa varianza es en su mayor parte NO informativa sobre el riesgo académico, como demuestra la sección C.</t>
        </is>
      </c>
    </row>
    <row r="31">
      <c r="A31" s="3" t="inlineStr">
        <is>
          <t>B · Cargas de los cinco primeros componentes</t>
        </is>
      </c>
    </row>
    <row r="32">
      <c r="A32" s="4" t="inlineStr">
        <is>
          <t>Variable</t>
        </is>
      </c>
      <c r="B32" s="4" t="inlineStr">
        <is>
          <t>En S3</t>
        </is>
      </c>
      <c r="C32" s="4" t="inlineStr">
        <is>
          <t>CP1</t>
        </is>
      </c>
      <c r="D32" s="4" t="inlineStr">
        <is>
          <t>CP2</t>
        </is>
      </c>
      <c r="E32" s="4" t="inlineStr">
        <is>
          <t>CP3</t>
        </is>
      </c>
      <c r="F32" s="4" t="inlineStr">
        <is>
          <t>CP4</t>
        </is>
      </c>
      <c r="G32" s="4" t="inlineStr">
        <is>
          <t>CP5</t>
        </is>
      </c>
    </row>
    <row r="33">
      <c r="A33" s="5" t="inlineStr">
        <is>
          <t>Sexo</t>
        </is>
      </c>
      <c r="B33" s="5" t="inlineStr">
        <is>
          <t>no</t>
        </is>
      </c>
      <c r="C33" s="5" t="n">
        <v>-0.162</v>
      </c>
      <c r="D33" s="5" t="n">
        <v>-0.063</v>
      </c>
      <c r="E33" s="5" t="n">
        <v>-0.064</v>
      </c>
      <c r="F33" s="5" t="n">
        <v>-0.098</v>
      </c>
      <c r="G33" s="5" t="n">
        <v>-0.106</v>
      </c>
    </row>
    <row r="34">
      <c r="A34" s="6" t="inlineStr">
        <is>
          <t>Educación del padre</t>
        </is>
      </c>
      <c r="B34" s="6" t="inlineStr">
        <is>
          <t>no</t>
        </is>
      </c>
      <c r="C34" s="6" t="n">
        <v>0.29</v>
      </c>
      <c r="D34" s="6" t="n">
        <v>-0.26</v>
      </c>
      <c r="E34" s="6" t="n">
        <v>-0.277</v>
      </c>
      <c r="F34" s="6" t="n">
        <v>0.176</v>
      </c>
      <c r="G34" s="6" t="n">
        <v>0.059</v>
      </c>
    </row>
    <row r="35">
      <c r="A35" s="5" t="inlineStr">
        <is>
          <t>Educación de la madre</t>
        </is>
      </c>
      <c r="B35" s="5" t="inlineStr">
        <is>
          <t>no</t>
        </is>
      </c>
      <c r="C35" s="5" t="n">
        <v>0.365</v>
      </c>
      <c r="D35" s="5" t="n">
        <v>-0.246</v>
      </c>
      <c r="E35" s="5" t="n">
        <v>0.06900000000000001</v>
      </c>
      <c r="F35" s="5" t="n">
        <v>0.257</v>
      </c>
      <c r="G35" s="5" t="n">
        <v>-0.058</v>
      </c>
    </row>
    <row r="36">
      <c r="A36" s="6" t="inlineStr">
        <is>
          <t>Educación máx. de los padres</t>
        </is>
      </c>
      <c r="B36" s="6" t="inlineStr">
        <is>
          <t>no</t>
        </is>
      </c>
      <c r="C36" s="6" t="n">
        <v>0.36</v>
      </c>
      <c r="D36" s="6" t="n">
        <v>-0.302</v>
      </c>
      <c r="E36" s="6" t="n">
        <v>-0.133</v>
      </c>
      <c r="F36" s="6" t="n">
        <v>0.279</v>
      </c>
      <c r="G36" s="6" t="n">
        <v>0.041</v>
      </c>
    </row>
    <row r="37">
      <c r="A37" s="5" t="inlineStr">
        <is>
          <t>Repitió año escolar</t>
        </is>
      </c>
      <c r="B37" s="5" t="inlineStr">
        <is>
          <t>no</t>
        </is>
      </c>
      <c r="C37" s="5" t="n">
        <v>-0.032</v>
      </c>
      <c r="D37" s="5" t="n">
        <v>-0.057</v>
      </c>
      <c r="E37" s="5" t="n">
        <v>-0.392</v>
      </c>
      <c r="F37" s="5" t="n">
        <v>-0.345</v>
      </c>
      <c r="G37" s="5" t="n">
        <v>-0.285</v>
      </c>
    </row>
    <row r="38">
      <c r="A38" s="6" t="inlineStr">
        <is>
          <t>Estrato</t>
        </is>
      </c>
      <c r="B38" s="6" t="inlineStr">
        <is>
          <t>no</t>
        </is>
      </c>
      <c r="C38" s="6" t="n">
        <v>0.312</v>
      </c>
      <c r="D38" s="6" t="n">
        <v>-0.197</v>
      </c>
      <c r="E38" s="6" t="n">
        <v>0.176</v>
      </c>
      <c r="F38" s="6" t="n">
        <v>-0.137</v>
      </c>
      <c r="G38" s="6" t="n">
        <v>-0.128</v>
      </c>
    </row>
    <row r="39">
      <c r="A39" s="5" t="inlineStr">
        <is>
          <t>Log. ingresos familiares</t>
        </is>
      </c>
      <c r="B39" s="5" t="inlineStr">
        <is>
          <t>no</t>
        </is>
      </c>
      <c r="C39" s="5" t="n">
        <v>0.215</v>
      </c>
      <c r="D39" s="5" t="n">
        <v>-0.096</v>
      </c>
      <c r="E39" s="5" t="n">
        <v>0.22</v>
      </c>
      <c r="F39" s="5" t="n">
        <v>-0.176</v>
      </c>
      <c r="G39" s="5" t="n">
        <v>0.101</v>
      </c>
    </row>
    <row r="40">
      <c r="A40" s="6" t="inlineStr">
        <is>
          <t>Nivel SISBEN</t>
        </is>
      </c>
      <c r="B40" s="6" t="inlineStr">
        <is>
          <t>no</t>
        </is>
      </c>
      <c r="C40" s="6" t="n">
        <v>-0.166</v>
      </c>
      <c r="D40" s="6" t="n">
        <v>0.099</v>
      </c>
      <c r="E40" s="6" t="n">
        <v>0.22</v>
      </c>
      <c r="F40" s="6" t="n">
        <v>0.375</v>
      </c>
      <c r="G40" s="6" t="n">
        <v>-0.241</v>
      </c>
    </row>
    <row r="41">
      <c r="A41" s="5" t="inlineStr">
        <is>
          <t>Tipo de plantel</t>
        </is>
      </c>
      <c r="B41" s="5" t="inlineStr">
        <is>
          <t>no</t>
        </is>
      </c>
      <c r="C41" s="5" t="n">
        <v>0.23</v>
      </c>
      <c r="D41" s="5" t="n">
        <v>-0.134</v>
      </c>
      <c r="E41" s="5" t="n">
        <v>0.14</v>
      </c>
      <c r="F41" s="5" t="n">
        <v>-0.315</v>
      </c>
      <c r="G41" s="5" t="n">
        <v>0.006</v>
      </c>
    </row>
    <row r="42">
      <c r="A42" s="6" t="inlineStr">
        <is>
          <t>Zona rural</t>
        </is>
      </c>
      <c r="B42" s="6" t="inlineStr">
        <is>
          <t>no</t>
        </is>
      </c>
      <c r="C42" s="6" t="n">
        <v>-0.136</v>
      </c>
      <c r="D42" s="6" t="n">
        <v>0.103</v>
      </c>
      <c r="E42" s="6" t="n">
        <v>-0.378</v>
      </c>
      <c r="F42" s="6" t="n">
        <v>0.352</v>
      </c>
      <c r="G42" s="6" t="n">
        <v>0.295</v>
      </c>
    </row>
    <row r="43">
      <c r="A43" s="5" t="inlineStr">
        <is>
          <t>Vive con</t>
        </is>
      </c>
      <c r="B43" s="5" t="inlineStr">
        <is>
          <t>no</t>
        </is>
      </c>
      <c r="C43" s="5" t="n">
        <v>-0.154</v>
      </c>
      <c r="D43" s="5" t="n">
        <v>0.203</v>
      </c>
      <c r="E43" s="5" t="n">
        <v>-0.023</v>
      </c>
      <c r="F43" s="5" t="n">
        <v>0.068</v>
      </c>
      <c r="G43" s="5" t="n">
        <v>-0.178</v>
      </c>
    </row>
    <row r="44">
      <c r="A44" s="6" t="inlineStr">
        <is>
          <t>Situación de los padres</t>
        </is>
      </c>
      <c r="B44" s="6" t="inlineStr">
        <is>
          <t>no</t>
        </is>
      </c>
      <c r="C44" s="6" t="n">
        <v>0.077</v>
      </c>
      <c r="D44" s="6" t="n">
        <v>0.118</v>
      </c>
      <c r="E44" s="6" t="n">
        <v>0.121</v>
      </c>
      <c r="F44" s="6" t="n">
        <v>0.162</v>
      </c>
      <c r="G44" s="6" t="n">
        <v>0.613</v>
      </c>
    </row>
    <row r="45">
      <c r="A45" s="9" t="inlineStr">
        <is>
          <t>SABER 11 · total</t>
        </is>
      </c>
      <c r="B45" s="9" t="inlineStr">
        <is>
          <t>sí</t>
        </is>
      </c>
      <c r="C45" s="9" t="n">
        <v>0.373</v>
      </c>
      <c r="D45" s="9" t="n">
        <v>0.382</v>
      </c>
      <c r="E45" s="9" t="n">
        <v>-0.02</v>
      </c>
      <c r="F45" s="9" t="n">
        <v>0.01</v>
      </c>
      <c r="G45" s="9" t="n">
        <v>-0.197</v>
      </c>
    </row>
    <row r="46">
      <c r="A46" s="9" t="inlineStr">
        <is>
          <t>SABER 11 · matemáticas</t>
        </is>
      </c>
      <c r="B46" s="9" t="inlineStr">
        <is>
          <t>sí</t>
        </is>
      </c>
      <c r="C46" s="9" t="n">
        <v>0.172</v>
      </c>
      <c r="D46" s="9" t="n">
        <v>0.425</v>
      </c>
      <c r="E46" s="9" t="n">
        <v>0.174</v>
      </c>
      <c r="F46" s="9" t="n">
        <v>-0.062</v>
      </c>
      <c r="G46" s="9" t="n">
        <v>-0.123</v>
      </c>
    </row>
    <row r="47">
      <c r="A47" s="9" t="inlineStr">
        <is>
          <t>SABER 11 · lectura</t>
        </is>
      </c>
      <c r="B47" s="9" t="inlineStr">
        <is>
          <t>sí</t>
        </is>
      </c>
      <c r="C47" s="9" t="n">
        <v>0.22</v>
      </c>
      <c r="D47" s="9" t="n">
        <v>0.323</v>
      </c>
      <c r="E47" s="9" t="n">
        <v>-0.213</v>
      </c>
      <c r="F47" s="9" t="n">
        <v>0.073</v>
      </c>
      <c r="G47" s="9" t="n">
        <v>-0.024</v>
      </c>
    </row>
    <row r="48">
      <c r="A48" s="9" t="inlineStr">
        <is>
          <t>SABER 11 · naturales</t>
        </is>
      </c>
      <c r="B48" s="9" t="inlineStr">
        <is>
          <t>sí</t>
        </is>
      </c>
      <c r="C48" s="9" t="n">
        <v>0.333</v>
      </c>
      <c r="D48" s="9" t="n">
        <v>0.253</v>
      </c>
      <c r="E48" s="9" t="n">
        <v>-0.109</v>
      </c>
      <c r="F48" s="9" t="n">
        <v>0.077</v>
      </c>
      <c r="G48" s="9" t="n">
        <v>-0.178</v>
      </c>
    </row>
    <row r="49">
      <c r="A49" s="5" t="inlineStr">
        <is>
          <t>Cohorte</t>
        </is>
      </c>
      <c r="B49" s="5" t="inlineStr">
        <is>
          <t>no</t>
        </is>
      </c>
      <c r="C49" s="5" t="n">
        <v>0.153</v>
      </c>
      <c r="D49" s="5" t="n">
        <v>0.364</v>
      </c>
      <c r="E49" s="5" t="n">
        <v>-0.135</v>
      </c>
      <c r="F49" s="5" t="n">
        <v>-0.14</v>
      </c>
      <c r="G49" s="5" t="n">
        <v>0.29</v>
      </c>
    </row>
    <row r="50">
      <c r="A50" s="9" t="inlineStr">
        <is>
          <t>Promedio 1er semestre</t>
        </is>
      </c>
      <c r="B50" s="9" t="inlineStr">
        <is>
          <t>sí</t>
        </is>
      </c>
      <c r="C50" s="9" t="n">
        <v>-0.023</v>
      </c>
      <c r="D50" s="9" t="n">
        <v>0.058</v>
      </c>
      <c r="E50" s="9" t="n">
        <v>0.525</v>
      </c>
      <c r="F50" s="9" t="n">
        <v>0.312</v>
      </c>
      <c r="G50" s="9" t="n">
        <v>-0.117</v>
      </c>
    </row>
    <row r="51">
      <c r="A51" s="9" t="inlineStr">
        <is>
          <t>Sin primer semestre</t>
        </is>
      </c>
      <c r="B51" s="9" t="inlineStr">
        <is>
          <t>sí</t>
        </is>
      </c>
      <c r="C51" s="9" t="n">
        <v>0.048</v>
      </c>
      <c r="D51" s="9" t="n">
        <v>0.038</v>
      </c>
      <c r="E51" s="9" t="n">
        <v>0.236</v>
      </c>
      <c r="F51" s="9" t="n">
        <v>-0.347</v>
      </c>
      <c r="G51" s="9" t="n">
        <v>0.368</v>
      </c>
    </row>
    <row r="53" ht="32" customHeight="1">
      <c r="A53" s="15" t="inlineStr">
        <is>
          <t>⚠ HALLAZGO CENTRAL. La variable más predictiva de todo el estudio —el promedio del primer semestre— alcanza su carga máxima en el componente CP3, que explica solo el 8.34 % de la varianza. Quien hubiera seleccionado variables por varianza explicada la habría descartado. Es la demostración empírica de por qué el PCA no vale como criterio de selección en un problema supervisado.</t>
        </is>
      </c>
    </row>
    <row r="55">
      <c r="A55" s="3" t="inlineStr">
        <is>
          <t>B2 · Redundancia interna del conjunto S3</t>
        </is>
      </c>
    </row>
    <row r="56">
      <c r="A56" s="4" t="inlineStr">
        <is>
          <t>Componentes</t>
        </is>
      </c>
      <c r="B56" s="4" t="inlineStr">
        <is>
          <t>% acumulado</t>
        </is>
      </c>
    </row>
    <row r="57">
      <c r="A57" s="5" t="inlineStr">
        <is>
          <t>CP1..CP1</t>
        </is>
      </c>
      <c r="B57" s="18" t="n">
        <v>41.98</v>
      </c>
    </row>
    <row r="58">
      <c r="A58" s="6" t="inlineStr">
        <is>
          <t>CP1..CP2</t>
        </is>
      </c>
      <c r="B58" s="19" t="n">
        <v>61.45</v>
      </c>
    </row>
    <row r="59">
      <c r="A59" s="5" t="inlineStr">
        <is>
          <t>CP1..CP3</t>
        </is>
      </c>
      <c r="B59" s="18" t="n">
        <v>77.84</v>
      </c>
    </row>
    <row r="60">
      <c r="A60" s="6" t="inlineStr">
        <is>
          <t>CP1..CP4</t>
        </is>
      </c>
      <c r="B60" s="19" t="n">
        <v>88.51000000000001</v>
      </c>
    </row>
    <row r="61">
      <c r="A61" s="5" t="inlineStr">
        <is>
          <t>CP1..CP5</t>
        </is>
      </c>
      <c r="B61" s="18" t="n">
        <v>98.40000000000001</v>
      </c>
    </row>
    <row r="62">
      <c r="A62" s="6" t="inlineStr">
        <is>
          <t>CP1..CP6</t>
        </is>
      </c>
      <c r="B62" s="19" t="n">
        <v>100</v>
      </c>
    </row>
    <row r="64" ht="32" customHeight="1">
      <c r="A64" s="12" t="inlineStr">
        <is>
          <t>S3 necesita 5 de sus 6 componentes para el 90 %: no hay redundancia estructural apreciable que comprimir. (Ojo: el análisis bayesiano de la hoja 10 sí encuentra una colinealidad que el PCA no delata, porque el PCA mira varianza y no efecto.)</t>
        </is>
      </c>
    </row>
    <row r="66">
      <c r="A66" s="3" t="inlineStr">
        <is>
          <t>C · PRUEBA DECISIVA — ¿alguna representación supera a las 6 variables?</t>
        </is>
      </c>
    </row>
    <row r="67">
      <c r="A67" t="inlineStr">
        <is>
          <t>Referencia: A0 · S3 (6 variables) · Random Forest — AUC-PR 0.7418 ± 0.0105 (azar = 0.2375)</t>
        </is>
      </c>
    </row>
    <row r="68">
      <c r="A68" s="4" t="inlineStr">
        <is>
          <t>Configuración</t>
        </is>
      </c>
      <c r="B68" s="4" t="inlineStr">
        <is>
          <t>AUC-PR</t>
        </is>
      </c>
      <c r="C68" s="4" t="inlineStr">
        <is>
          <t>DE</t>
        </is>
      </c>
      <c r="D68" s="4" t="inlineStr">
        <is>
          <t>AUC-ROC</t>
        </is>
      </c>
      <c r="E68" s="4" t="inlineStr">
        <is>
          <t>Δ vs referencia</t>
        </is>
      </c>
      <c r="F68" s="4" t="inlineStr">
        <is>
          <t>t corregido</t>
        </is>
      </c>
      <c r="G68" s="4" t="inlineStr">
        <is>
          <t>p</t>
        </is>
      </c>
      <c r="H68" s="4" t="inlineStr">
        <is>
          <t>Veredicto</t>
        </is>
      </c>
    </row>
    <row r="69">
      <c r="A69" s="9" t="inlineStr">
        <is>
          <t>A1 · 19 variables crudas · Random Forest</t>
        </is>
      </c>
      <c r="B69" s="10" t="n">
        <v>0.7176</v>
      </c>
      <c r="C69" s="10" t="n">
        <v>0.0441</v>
      </c>
      <c r="D69" s="10" t="n">
        <v>0.8082</v>
      </c>
      <c r="E69" s="36" t="n">
        <v>-0.0242</v>
      </c>
      <c r="F69" s="30" t="n">
        <v>-0.85</v>
      </c>
      <c r="G69" s="10" t="n">
        <v>0.4176</v>
      </c>
      <c r="H69" s="9" t="inlineStr">
        <is>
          <t>empate estadístico</t>
        </is>
      </c>
    </row>
    <row r="70">
      <c r="A70" s="6" t="inlineStr">
        <is>
          <t>A2 · PCA(k) sobre 19 vars · Random Forest</t>
        </is>
      </c>
      <c r="B70" s="11" t="n">
        <v>0.3715</v>
      </c>
      <c r="C70" s="11" t="n">
        <v>0.06859999999999999</v>
      </c>
      <c r="D70" s="11" t="n">
        <v>0.6294</v>
      </c>
      <c r="E70" s="25" t="n">
        <v>-0.3703</v>
      </c>
      <c r="F70" s="28" t="n">
        <v>-8.706</v>
      </c>
      <c r="G70" s="11" t="n">
        <v>0</v>
      </c>
      <c r="H70" s="6" t="inlineStr">
        <is>
          <t>peor (relevante)</t>
        </is>
      </c>
    </row>
    <row r="71">
      <c r="A71" s="5" t="inlineStr">
        <is>
          <t>A3 · PCA(k) sobre 19 vars · Logística</t>
        </is>
      </c>
      <c r="B71" s="8" t="n">
        <v>0.3819</v>
      </c>
      <c r="C71" s="8" t="n">
        <v>0.0455</v>
      </c>
      <c r="D71" s="8" t="n">
        <v>0.6085</v>
      </c>
      <c r="E71" s="24" t="n">
        <v>-0.3599</v>
      </c>
      <c r="F71" s="26" t="n">
        <v>-13.791</v>
      </c>
      <c r="G71" s="8" t="n">
        <v>0</v>
      </c>
      <c r="H71" s="5" t="inlineStr">
        <is>
          <t>peor (relevante)</t>
        </is>
      </c>
    </row>
    <row r="72">
      <c r="A72" s="9" t="inlineStr">
        <is>
          <t>A4 · PCA(k) sobre S3 · Random Forest</t>
        </is>
      </c>
      <c r="B72" s="10" t="n">
        <v>0.6947</v>
      </c>
      <c r="C72" s="10" t="n">
        <v>0.067</v>
      </c>
      <c r="D72" s="10" t="n">
        <v>0.8616</v>
      </c>
      <c r="E72" s="36" t="n">
        <v>-0.0471</v>
      </c>
      <c r="F72" s="30" t="n">
        <v>-1.112</v>
      </c>
      <c r="G72" s="10" t="n">
        <v>0.2948</v>
      </c>
      <c r="H72" s="9" t="inlineStr">
        <is>
          <t>empate estadístico</t>
        </is>
      </c>
    </row>
    <row r="73">
      <c r="A73" s="5" t="inlineStr">
        <is>
          <t>A5 · PLS-DA(k) sobre 19 vars (supervisado)</t>
        </is>
      </c>
      <c r="B73" s="8" t="n">
        <v>0.4637</v>
      </c>
      <c r="C73" s="8" t="n">
        <v>0.0372</v>
      </c>
      <c r="D73" s="8" t="n">
        <v>0.694</v>
      </c>
      <c r="E73" s="24" t="n">
        <v>-0.2781</v>
      </c>
      <c r="F73" s="26" t="n">
        <v>-10.787</v>
      </c>
      <c r="G73" s="8" t="n">
        <v>0</v>
      </c>
      <c r="H73" s="5" t="inlineStr">
        <is>
          <t>peor (relevante)</t>
        </is>
      </c>
    </row>
    <row r="74">
      <c r="A74" s="6" t="inlineStr">
        <is>
          <t>A6 · PLS-DA(k) sobre S3 (supervisado)</t>
        </is>
      </c>
      <c r="B74" s="11" t="n">
        <v>0.4463</v>
      </c>
      <c r="C74" s="11" t="n">
        <v>0.0562</v>
      </c>
      <c r="D74" s="11" t="n">
        <v>0.6394</v>
      </c>
      <c r="E74" s="25" t="n">
        <v>-0.2955</v>
      </c>
      <c r="F74" s="28" t="n">
        <v>-8.125</v>
      </c>
      <c r="G74" s="11" t="n">
        <v>0</v>
      </c>
      <c r="H74" s="6" t="inlineStr">
        <is>
          <t>peor (relevante)</t>
        </is>
      </c>
    </row>
    <row r="76" ht="32" customHeight="1">
      <c r="A76" s="15" t="inlineStr">
        <is>
          <t>VEREDICTO: ninguna representación mejora a las 6 variables seleccionadas. El PCA no solo no ayuda: DESTRUYE la señal (−0,37 de AUC-PR, p&lt;0,0001) porque la rotación diluye la única variable muy predictiva dentro de componentes dominados por varianza irrelevante. El PLS, que sí es supervisado, tampoco alcanza: elige k=1 componente en las 50 iteraciones, confirmando que hay una sola dirección útil, pero al ser lineal no captura su forma.</t>
        </is>
      </c>
    </row>
    <row r="78" ht="32" customHeight="1">
      <c r="A78" s="23" t="inlineStr">
        <is>
          <t>RESPALDO A LA SELECCIÓN: usar las 19 variables crudas empata estadísticamente con usar 6 (p=0,42), y toda compresión no supervisada empeora. La selección S3 queda sustentada por tres vías independientes: ablación anidada (RC-032), esta comparación de representaciones, y la posterior bayesiana de la hoja 10.</t>
        </is>
      </c>
    </row>
    <row r="80">
      <c r="A80" s="3" t="inlineStr">
        <is>
          <t>D · Componentes elegidos dentro de los pliegues</t>
        </is>
      </c>
    </row>
    <row r="81">
      <c r="A81" s="4" t="inlineStr">
        <is>
          <t>Configuración</t>
        </is>
      </c>
      <c r="B81" s="4" t="inlineStr">
        <is>
          <t>Frecuencia (sobre 50 pliegues)</t>
        </is>
      </c>
    </row>
    <row r="82">
      <c r="A82" s="5" t="inlineStr">
        <is>
          <t>A2 · PCA(k) sobre 19 vars · Random Forest</t>
        </is>
      </c>
      <c r="B82" s="5" t="inlineStr">
        <is>
          <t>k=6: 18 · k=8: 18 · k=4: 10 · k=2: 4</t>
        </is>
      </c>
    </row>
    <row r="83">
      <c r="A83" s="6" t="inlineStr">
        <is>
          <t>A3 · PCA(k) sobre 19 vars · Logística</t>
        </is>
      </c>
      <c r="B83" s="6" t="inlineStr">
        <is>
          <t>k=10: 13 · k=4: 11 · k=6: 9 · k=5: 7 · k=8: 6 · k=3: 2 · k=2: 2</t>
        </is>
      </c>
    </row>
    <row r="84">
      <c r="A84" s="5" t="inlineStr">
        <is>
          <t>A4 · PCA(k) sobre S3 · Random Forest</t>
        </is>
      </c>
      <c r="B84" s="5" t="inlineStr">
        <is>
          <t>k=2: 31 · k=4: 10 · k=3: 5 · k=5: 4</t>
        </is>
      </c>
    </row>
    <row r="85">
      <c r="A85" s="6" t="inlineStr">
        <is>
          <t>A5 · PLS-DA(k) sobre 19 vars (supervisado)</t>
        </is>
      </c>
      <c r="B85" s="6" t="inlineStr">
        <is>
          <t>k=1: 50</t>
        </is>
      </c>
    </row>
    <row r="86">
      <c r="A86" s="5" t="inlineStr">
        <is>
          <t>A6 · PLS-DA(k) sobre S3 (supervisado)</t>
        </is>
      </c>
      <c r="B86" s="5" t="inlineStr">
        <is>
          <t>k=1: 50</t>
        </is>
      </c>
    </row>
  </sheetData>
  <mergeCells count="7">
    <mergeCell ref="A1:H1"/>
    <mergeCell ref="A78:H78"/>
    <mergeCell ref="A53:H53"/>
    <mergeCell ref="A29:H29"/>
    <mergeCell ref="A64:H64"/>
    <mergeCell ref="A76:H76"/>
    <mergeCell ref="A5:H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9"/>
  <sheetViews>
    <sheetView showGridLines="0" workbookViewId="0">
      <pane ySplit="2" topLeftCell="A3" activePane="bottomLeft" state="frozen"/>
      <selection pane="bottomLeft" activeCell="A1" sqref="A1"/>
    </sheetView>
  </sheetViews>
  <sheetFormatPr baseColWidth="8" defaultRowHeight="15"/>
  <cols>
    <col width="42" customWidth="1" min="1" max="1"/>
    <col width="14" customWidth="1" min="2" max="2"/>
    <col width="20" customWidth="1" min="3" max="3"/>
    <col width="34" customWidth="1" min="4" max="4"/>
    <col width="11" customWidth="1" min="5" max="5"/>
    <col width="26" customWidth="1" min="6" max="6"/>
    <col width="10" customWidth="1" min="7" max="7"/>
    <col width="22" customWidth="1" min="8" max="8"/>
  </cols>
  <sheetData>
    <row r="1" ht="24" customHeight="1">
      <c r="A1" s="1" t="inlineStr">
        <is>
          <t>BLOQUE B — MODELOS BAYESIANOS</t>
        </is>
      </c>
    </row>
    <row r="2">
      <c r="A2" t="inlineStr">
        <is>
          <t>Encargo del asesor, 2026-09-29 · mismo protocolo anidado · la aportación no es acierto, es incertidumbre cuantificada</t>
        </is>
      </c>
    </row>
    <row r="4">
      <c r="A4" s="3" t="inlineStr">
        <is>
          <t>A · Desempeño frente a la referencia</t>
        </is>
      </c>
    </row>
    <row r="5">
      <c r="A5" t="inlineStr">
        <is>
          <t>Referencia: A0 · S3 (6 variables) · Random Forest — AUC-PR 0.7418 (azar = 0.2375)</t>
        </is>
      </c>
    </row>
    <row r="6">
      <c r="A6" s="4" t="inlineStr">
        <is>
          <t>Configuración</t>
        </is>
      </c>
      <c r="B6" s="4" t="inlineStr">
        <is>
          <t>AUC-PR</t>
        </is>
      </c>
      <c r="C6" s="4" t="inlineStr">
        <is>
          <t>DE</t>
        </is>
      </c>
      <c r="D6" s="4" t="inlineStr">
        <is>
          <t>AUC-ROC</t>
        </is>
      </c>
      <c r="E6" s="4" t="inlineStr">
        <is>
          <t>Δ vs referencia</t>
        </is>
      </c>
      <c r="F6" s="4" t="inlineStr">
        <is>
          <t>t corregido</t>
        </is>
      </c>
      <c r="G6" s="4" t="inlineStr">
        <is>
          <t>p</t>
        </is>
      </c>
      <c r="H6" s="4" t="inlineStr">
        <is>
          <t>Veredicto</t>
        </is>
      </c>
    </row>
    <row r="7">
      <c r="A7" s="5" t="inlineStr">
        <is>
          <t>B1 · Naive Bayes gaussiano</t>
        </is>
      </c>
      <c r="B7" s="8" t="n">
        <v>0.4252</v>
      </c>
      <c r="C7" s="8" t="n">
        <v>0.0934</v>
      </c>
      <c r="D7" s="8" t="n">
        <v>0.6226</v>
      </c>
      <c r="E7" s="24" t="n">
        <v>-0.3166</v>
      </c>
      <c r="F7" s="26" t="n">
        <v>-5.236</v>
      </c>
      <c r="G7" s="8" t="n">
        <v>0.0005</v>
      </c>
      <c r="H7" s="5" t="inlineStr">
        <is>
          <t>peor (relevante)</t>
        </is>
      </c>
    </row>
    <row r="8">
      <c r="A8" s="6" t="inlineStr">
        <is>
          <t>B2 · Logística bayesiana (Laplace)</t>
        </is>
      </c>
      <c r="B8" s="11" t="n">
        <v>0.619</v>
      </c>
      <c r="C8" s="11" t="n">
        <v>0.0506</v>
      </c>
      <c r="D8" s="11" t="n">
        <v>0.6956</v>
      </c>
      <c r="E8" s="25" t="n">
        <v>-0.1227</v>
      </c>
      <c r="F8" s="28" t="n">
        <v>-3.987</v>
      </c>
      <c r="G8" s="11" t="n">
        <v>0.0032</v>
      </c>
      <c r="H8" s="6" t="inlineStr">
        <is>
          <t>peor (relevante)</t>
        </is>
      </c>
    </row>
    <row r="9">
      <c r="A9" s="5" t="inlineStr">
        <is>
          <t>B2b · Logística bayesiana (Laplace) · 19 variables</t>
        </is>
      </c>
      <c r="B9" s="8" t="n">
        <v>0.5652</v>
      </c>
      <c r="C9" s="8" t="n">
        <v>0.0446</v>
      </c>
      <c r="D9" s="8" t="n">
        <v>0.7645999999999999</v>
      </c>
      <c r="E9" s="24" t="n">
        <v>-0.1766</v>
      </c>
      <c r="F9" s="26" t="n">
        <v>-6.075</v>
      </c>
      <c r="G9" s="8" t="n">
        <v>0.0002</v>
      </c>
      <c r="H9" s="5" t="inlineStr">
        <is>
          <t>peor (relevante)</t>
        </is>
      </c>
    </row>
    <row r="10">
      <c r="A10" s="6" t="inlineStr">
        <is>
          <t>B3 · Proceso gaussiano</t>
        </is>
      </c>
      <c r="B10" s="11" t="n">
        <v>0.4354</v>
      </c>
      <c r="C10" s="11" t="n">
        <v>0.0487</v>
      </c>
      <c r="D10" s="11" t="n">
        <v>0.6242</v>
      </c>
      <c r="E10" s="25" t="n">
        <v>-0.3064</v>
      </c>
      <c r="F10" s="28" t="n">
        <v>-9.654999999999999</v>
      </c>
      <c r="G10" s="11" t="n">
        <v>0</v>
      </c>
      <c r="H10" s="6" t="inlineStr">
        <is>
          <t>peor (relevante)</t>
        </is>
      </c>
    </row>
    <row r="11">
      <c r="A11" s="5" t="inlineStr">
        <is>
          <t>B4 · Logística L2 (MAP de B2)</t>
        </is>
      </c>
      <c r="B11" s="8" t="n">
        <v>0.6045</v>
      </c>
      <c r="C11" s="8" t="n">
        <v>0.0508</v>
      </c>
      <c r="D11" s="8" t="n">
        <v>0.6975</v>
      </c>
      <c r="E11" s="24" t="n">
        <v>-0.1373</v>
      </c>
      <c r="F11" s="26" t="n">
        <v>-4.282</v>
      </c>
      <c r="G11" s="8" t="n">
        <v>0.002</v>
      </c>
      <c r="H11" s="5" t="inlineStr">
        <is>
          <t>peor (relevante)</t>
        </is>
      </c>
    </row>
    <row r="12">
      <c r="A12" s="6" t="inlineStr">
        <is>
          <t>B5 · Naive Bayes gaussiano · 19 variables</t>
        </is>
      </c>
      <c r="B12" s="11" t="n">
        <v>0.442</v>
      </c>
      <c r="C12" s="11" t="n">
        <v>0.1031</v>
      </c>
      <c r="D12" s="11" t="n">
        <v>0.6915</v>
      </c>
      <c r="E12" s="25" t="n">
        <v>-0.2998</v>
      </c>
      <c r="F12" s="28" t="n">
        <v>-4.517</v>
      </c>
      <c r="G12" s="11" t="n">
        <v>0.0015</v>
      </c>
      <c r="H12" s="6" t="inlineStr">
        <is>
          <t>peor (relevante)</t>
        </is>
      </c>
    </row>
    <row r="13">
      <c r="A13" s="9" t="inlineStr">
        <is>
          <t>B7 · S3 sin SABER-total (VIF 6,7) · Random Forest</t>
        </is>
      </c>
      <c r="B13" s="10" t="n">
        <v>0.7207</v>
      </c>
      <c r="C13" s="10" t="n">
        <v>0.0287</v>
      </c>
      <c r="D13" s="10" t="n">
        <v>0.7742</v>
      </c>
      <c r="E13" s="36" t="n">
        <v>-0.0211</v>
      </c>
      <c r="F13" s="30" t="n">
        <v>-1.688</v>
      </c>
      <c r="G13" s="10" t="n">
        <v>0.1256</v>
      </c>
      <c r="H13" s="9" t="inlineStr">
        <is>
          <t>empate estadístico</t>
        </is>
      </c>
    </row>
    <row r="14">
      <c r="A14" s="6" t="inlineStr">
        <is>
          <t>B8 · S3 sin SABER-total · Logística bayesiana</t>
        </is>
      </c>
      <c r="B14" s="11" t="n">
        <v>0.5546</v>
      </c>
      <c r="C14" s="11" t="n">
        <v>0.0603</v>
      </c>
      <c r="D14" s="11" t="n">
        <v>0.6771</v>
      </c>
      <c r="E14" s="25" t="n">
        <v>-0.1872</v>
      </c>
      <c r="F14" s="28" t="n">
        <v>-5.186</v>
      </c>
      <c r="G14" s="11" t="n">
        <v>0.0005999999999999999</v>
      </c>
      <c r="H14" s="6" t="inlineStr">
        <is>
          <t>peor (relevante)</t>
        </is>
      </c>
    </row>
    <row r="16" ht="32" customHeight="1">
      <c r="A16" s="12" t="inlineStr">
        <is>
          <t>Ningún modelo bayesiano supera a Random Forest en AUC-PR, y era esperable: son modelos de frontera lineal (salvo el proceso gaussiano) frente a un problema con interacciones. El dato que sí importa: la logística bayesiana (0,619) supera a su propio MAP regularizado (0,605) con idénticas variables. Esa diferencia es lo que aporta integrar sobre la posterior en vez de quedarse con la moda — poco en acierto, mucho en honestidad.</t>
        </is>
      </c>
    </row>
    <row r="18">
      <c r="A18" s="3" t="inlineStr">
        <is>
          <t>B · Posterior de los coeficientes (PyMC, muestra completa n=80)</t>
        </is>
      </c>
    </row>
    <row r="19" ht="32" customHeight="1">
      <c r="A19" s="12" t="inlineStr">
        <is>
          <t>Coeficientes sobre variables tipificadas, por tanto comparables entre sí. Un intervalo creíble del 94 % que NO contiene el cero indica un efecto que los datos sostienen. Es una respuesta a la selección de variables independiente del PCA y del bosque aleatorio.</t>
        </is>
      </c>
    </row>
    <row r="20">
      <c r="A20" s="4" t="inlineStr">
        <is>
          <t>Variable</t>
        </is>
      </c>
      <c r="B20" s="4" t="inlineStr">
        <is>
          <t>Media posterior</t>
        </is>
      </c>
      <c r="C20" s="4" t="inlineStr">
        <is>
          <t>IC 94 % inferior</t>
        </is>
      </c>
      <c r="D20" s="4" t="inlineStr">
        <is>
          <t>IC 94 % superior</t>
        </is>
      </c>
      <c r="E20" s="4" t="inlineStr">
        <is>
          <t>P(β&lt;0)</t>
        </is>
      </c>
      <c r="F20" s="4" t="inlineStr">
        <is>
          <t>Veredicto</t>
        </is>
      </c>
    </row>
    <row r="21">
      <c r="A21" s="9" t="inlineStr">
        <is>
          <t>Promedio 1er semestre</t>
        </is>
      </c>
      <c r="B21" s="37" t="n">
        <v>-1.3617</v>
      </c>
      <c r="C21" s="37" t="n">
        <v>-1.9498</v>
      </c>
      <c r="D21" s="37" t="n">
        <v>-0.7671</v>
      </c>
      <c r="E21" s="30" t="n">
        <v>0.9997</v>
      </c>
      <c r="F21" s="9" t="inlineStr">
        <is>
          <t>efecto creíble</t>
        </is>
      </c>
    </row>
    <row r="22">
      <c r="A22" s="6" t="inlineStr">
        <is>
          <t>Sin primer semestre</t>
        </is>
      </c>
      <c r="B22" s="38" t="n">
        <v>0.2493</v>
      </c>
      <c r="C22" s="38" t="n">
        <v>-0.3103</v>
      </c>
      <c r="D22" s="38" t="n">
        <v>0.8162</v>
      </c>
      <c r="E22" s="28" t="n">
        <v>0.1947</v>
      </c>
      <c r="F22" s="6" t="inlineStr">
        <is>
          <t>no distinguible de cero</t>
        </is>
      </c>
    </row>
    <row r="23">
      <c r="A23" s="9" t="inlineStr">
        <is>
          <t>SABER 11 · total</t>
        </is>
      </c>
      <c r="B23" s="37" t="n">
        <v>1.5582</v>
      </c>
      <c r="C23" s="37" t="n">
        <v>0.8368</v>
      </c>
      <c r="D23" s="37" t="n">
        <v>2.2476</v>
      </c>
      <c r="E23" s="30" t="n">
        <v>0</v>
      </c>
      <c r="F23" s="9" t="inlineStr">
        <is>
          <t>efecto creíble</t>
        </is>
      </c>
    </row>
    <row r="24">
      <c r="A24" s="6" t="inlineStr">
        <is>
          <t>SABER 11 · matemáticas</t>
        </is>
      </c>
      <c r="B24" s="38" t="n">
        <v>0.2001</v>
      </c>
      <c r="C24" s="38" t="n">
        <v>-0.4888</v>
      </c>
      <c r="D24" s="38" t="n">
        <v>0.859</v>
      </c>
      <c r="E24" s="28" t="n">
        <v>0.2797</v>
      </c>
      <c r="F24" s="6" t="inlineStr">
        <is>
          <t>no distinguible de cero</t>
        </is>
      </c>
    </row>
    <row r="25">
      <c r="A25" s="9" t="inlineStr">
        <is>
          <t>SABER 11 · lectura</t>
        </is>
      </c>
      <c r="B25" s="37" t="n">
        <v>-0.9336</v>
      </c>
      <c r="C25" s="37" t="n">
        <v>-1.7054</v>
      </c>
      <c r="D25" s="37" t="n">
        <v>-0.1841</v>
      </c>
      <c r="E25" s="30" t="n">
        <v>0.989</v>
      </c>
      <c r="F25" s="9" t="inlineStr">
        <is>
          <t>efecto creíble</t>
        </is>
      </c>
    </row>
    <row r="26">
      <c r="A26" s="6" t="inlineStr">
        <is>
          <t>SABER 11 · naturales</t>
        </is>
      </c>
      <c r="B26" s="38" t="n">
        <v>-0.6718</v>
      </c>
      <c r="C26" s="38" t="n">
        <v>-1.3698</v>
      </c>
      <c r="D26" s="38" t="n">
        <v>0.046</v>
      </c>
      <c r="E26" s="28" t="n">
        <v>0.9627</v>
      </c>
      <c r="F26" s="6" t="inlineStr">
        <is>
          <t>no distinguible de cero</t>
        </is>
      </c>
    </row>
    <row r="28" ht="32" customHeight="1">
      <c r="A28" s="15" t="inlineStr">
        <is>
          <t>⚠ HALLAZGO NO BUSCADO. El coeficiente de SABER 11 · total sale POSITIVO y creíble (+1,56): más puntaje, más riesgo. Es imposible sustantivamente, y es el síntoma clásico de colinealidad por supresión — el total es en un 85 % una combinación lineal de sus tres áreas (VIF 6,7). El modelo está ajustando contrastes entre el total y sus partes, no efectos interpretables. Ver sección C.</t>
        </is>
      </c>
    </row>
    <row r="30">
      <c r="A30" s="3" t="inlineStr">
        <is>
          <t>C · Colinealidad dentro de S3 y consecuencia práctica</t>
        </is>
      </c>
    </row>
    <row r="31">
      <c r="A31" s="4" t="inlineStr">
        <is>
          <t>Variable</t>
        </is>
      </c>
      <c r="B31" s="4" t="inlineStr">
        <is>
          <t>VIF</t>
        </is>
      </c>
      <c r="C31" s="4" t="inlineStr">
        <is>
          <t>R² contra las demás</t>
        </is>
      </c>
      <c r="D31" s="4" t="inlineStr">
        <is>
          <t>Lectura</t>
        </is>
      </c>
    </row>
    <row r="32">
      <c r="A32" s="5" t="inlineStr">
        <is>
          <t>Promedio 1er semestre</t>
        </is>
      </c>
      <c r="B32" s="18" t="n">
        <v>1.1</v>
      </c>
      <c r="C32" s="8" t="n">
        <v>0.0901</v>
      </c>
      <c r="D32" s="5" t="inlineStr">
        <is>
          <t>sin problema</t>
        </is>
      </c>
    </row>
    <row r="33">
      <c r="A33" s="6" t="inlineStr">
        <is>
          <t>Sin primer semestre</t>
        </is>
      </c>
      <c r="B33" s="19" t="n">
        <v>1.01</v>
      </c>
      <c r="C33" s="11" t="n">
        <v>0.0112</v>
      </c>
      <c r="D33" s="6" t="inlineStr">
        <is>
          <t>sin problema</t>
        </is>
      </c>
    </row>
    <row r="34">
      <c r="A34" s="9" t="inlineStr">
        <is>
          <t>SABER 11 · total</t>
        </is>
      </c>
      <c r="B34" s="39" t="n">
        <v>6.66</v>
      </c>
      <c r="C34" s="10" t="n">
        <v>0.85</v>
      </c>
      <c r="D34" s="9" t="inlineStr">
        <is>
          <t>colinealidad problemática (&gt;5)</t>
        </is>
      </c>
    </row>
    <row r="35">
      <c r="A35" s="6" t="inlineStr">
        <is>
          <t>SABER 11 · matemáticas</t>
        </is>
      </c>
      <c r="B35" s="19" t="n">
        <v>2.04</v>
      </c>
      <c r="C35" s="11" t="n">
        <v>0.5104</v>
      </c>
      <c r="D35" s="6" t="inlineStr">
        <is>
          <t>sin problema</t>
        </is>
      </c>
    </row>
    <row r="36">
      <c r="A36" s="5" t="inlineStr">
        <is>
          <t>SABER 11 · lectura</t>
        </is>
      </c>
      <c r="B36" s="18" t="n">
        <v>2.39</v>
      </c>
      <c r="C36" s="8" t="n">
        <v>0.5825</v>
      </c>
      <c r="D36" s="5" t="inlineStr">
        <is>
          <t>sin problema</t>
        </is>
      </c>
    </row>
    <row r="37">
      <c r="A37" s="6" t="inlineStr">
        <is>
          <t>SABER 11 · naturales</t>
        </is>
      </c>
      <c r="B37" s="19" t="n">
        <v>2.71</v>
      </c>
      <c r="C37" s="11" t="n">
        <v>0.6315</v>
      </c>
      <c r="D37" s="6" t="inlineStr">
        <is>
          <t>sin problema</t>
        </is>
      </c>
    </row>
    <row r="39" ht="32" customHeight="1">
      <c r="A39" s="7" t="inlineStr">
        <is>
          <t>QUÉ HACER: a Random Forest la colinealidad no le afecta (quitar el total deja AUC-PR 0,721 frente a 0,742, empate estadístico p=0,13), así que el modelo en producción no está comprometido. Pero cualquier lectura de coeficientes o de importancias individuales dentro del bloque SABER 11 es inválida mientras el total conviva con sus partes. Recomendación: conservar el total y retirar las tres áreas, o al revés, antes de interpretar nada.</t>
        </is>
      </c>
    </row>
    <row r="41">
      <c r="A41" s="3" t="inlineStr">
        <is>
          <t>D · Incertidumbre por estudiante — la razón para cambiar la app</t>
        </is>
      </c>
    </row>
    <row r="42">
      <c r="A42" s="4" t="inlineStr">
        <is>
          <t>Medida</t>
        </is>
      </c>
      <c r="B42" s="4" t="inlineStr">
        <is>
          <t>Valor</t>
        </is>
      </c>
    </row>
    <row r="43">
      <c r="A43" s="5" t="inlineStr">
        <is>
          <t>Anchura mediana del IC 94 %</t>
        </is>
      </c>
      <c r="B43" s="5" t="n">
        <v>0.3588</v>
      </c>
    </row>
    <row r="44">
      <c r="A44" s="6" t="inlineStr">
        <is>
          <t>Anchura mínima</t>
        </is>
      </c>
      <c r="B44" s="6" t="n">
        <v>0.06569999999999999</v>
      </c>
    </row>
    <row r="45">
      <c r="A45" s="5" t="inlineStr">
        <is>
          <t>Anchura máxima</t>
        </is>
      </c>
      <c r="B45" s="5" t="n">
        <v>0.9091</v>
      </c>
    </row>
    <row r="46">
      <c r="A46" s="6" t="inlineStr">
        <is>
          <t>Estudiantes con IC más ancho que 0,30</t>
        </is>
      </c>
      <c r="B46" s="6" t="n">
        <v>43</v>
      </c>
    </row>
    <row r="47">
      <c r="A47" s="5" t="inlineStr">
        <is>
          <t>Porcentaje sobre los 80</t>
        </is>
      </c>
      <c r="B47" s="5" t="n">
        <v>0.5375</v>
      </c>
    </row>
    <row r="49" ht="32" customHeight="1">
      <c r="A49" s="15" t="inlineStr">
        <is>
          <t>En 43 de 80 estudiantes (54%) el intervalo creíble del 94 % de su probabilidad es más ancho que 0,30. Para esos casos el modelo no está en condiciones de emitir un número. Esto confirma por una vía independiente el defecto de calibración detectado el 16-09 y sostiene la recomendación: la app debe mostrar nivel de alerta y puesto relativo, no un porcentaje.</t>
        </is>
      </c>
    </row>
  </sheetData>
  <mergeCells count="6">
    <mergeCell ref="A39:H39"/>
    <mergeCell ref="A16:H16"/>
    <mergeCell ref="A28:H28"/>
    <mergeCell ref="A19:H19"/>
    <mergeCell ref="A49:H49"/>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8"/>
  <sheetViews>
    <sheetView showGridLines="0"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8" customWidth="1" min="4" max="4"/>
    <col width="10" customWidth="1" min="5" max="5"/>
    <col width="11" customWidth="1" min="6" max="6"/>
    <col width="10" customWidth="1" min="7" max="7"/>
    <col width="22" customWidth="1" min="8" max="8"/>
  </cols>
  <sheetData>
    <row r="1" ht="24" customHeight="1">
      <c r="A1" s="1" t="inlineStr">
        <is>
          <t>BLOQUE C — APRENDIZAJE CON POCOS DATOS Y CURVA DE TAMAÑO MUESTRAL</t>
        </is>
      </c>
    </row>
    <row r="2">
      <c r="A2" t="inlineStr">
        <is>
          <t>Encargo del asesor, 2026-09-29 · incluye la estimación de qué aportarán las cohortes nuevas solicitadas</t>
        </is>
      </c>
    </row>
    <row r="4">
      <c r="A4" s="3" t="inlineStr">
        <is>
          <t>SOBRE "ONE-SHOT LEARNING": QUÉ SE TRASLADA Y QUÉ NO</t>
        </is>
      </c>
    </row>
    <row r="5" ht="32" customHeight="1">
      <c r="A5" s="7" t="inlineStr">
        <is>
          <t>El one-shot / few-shot learning en sentido estricto sirve para reconocer CLASES NUEVAS con uno o pocos ejemplos, y descansa en dos cosas que aquí no existen: un corpus grande de preentrenamiento del que transferir una representación, y una estructura por episodios con clases no vistas en entrenamiento. Nuestro problema es tabular, binario y con ambas clases presentes desde el inicio. Aplicar una red siamesa literal sería ponerle nombre de moda a un clasificador corriente. Lo que SÍ se traslada es el mecanismo: aprender una métrica y clasificar por cercanía a un prototipo de clase — ProtoNet, despojada de la red, es exactamente eso.</t>
        </is>
      </c>
    </row>
    <row r="7">
      <c r="A7" s="3" t="inlineStr">
        <is>
          <t>A · Métodos basados en métrica y prototipos</t>
        </is>
      </c>
    </row>
    <row r="8">
      <c r="A8" t="inlineStr">
        <is>
          <t>Referencia: A0 · S3 (6 variables) · Random Forest — AUC-PR 0.7418 (azar = 0.2375)</t>
        </is>
      </c>
    </row>
    <row r="9">
      <c r="A9" s="4" t="inlineStr">
        <is>
          <t>Configuración</t>
        </is>
      </c>
      <c r="B9" s="4" t="inlineStr">
        <is>
          <t>AUC-PR</t>
        </is>
      </c>
      <c r="C9" s="4" t="inlineStr">
        <is>
          <t>DE</t>
        </is>
      </c>
      <c r="D9" s="4" t="inlineStr">
        <is>
          <t>AUC-ROC</t>
        </is>
      </c>
      <c r="E9" s="4" t="inlineStr">
        <is>
          <t>Δ vs referencia</t>
        </is>
      </c>
      <c r="F9" s="4" t="inlineStr">
        <is>
          <t>t corregido</t>
        </is>
      </c>
      <c r="G9" s="4" t="inlineStr">
        <is>
          <t>p</t>
        </is>
      </c>
      <c r="H9" s="4" t="inlineStr">
        <is>
          <t>Veredicto</t>
        </is>
      </c>
    </row>
    <row r="10">
      <c r="A10" s="5" t="inlineStr">
        <is>
          <t>C1 · Prototipos de clase (ProtoNet tabular)</t>
        </is>
      </c>
      <c r="B10" s="8" t="n">
        <v>0.4373</v>
      </c>
      <c r="C10" s="8" t="n">
        <v>0.0377</v>
      </c>
      <c r="D10" s="8" t="n">
        <v>0.6461</v>
      </c>
      <c r="E10" s="24" t="n">
        <v>-0.3045</v>
      </c>
      <c r="F10" s="26" t="n">
        <v>-13.652</v>
      </c>
      <c r="G10" s="8" t="n">
        <v>0</v>
      </c>
      <c r="H10" s="5" t="inlineStr">
        <is>
          <t>peor (relevante)</t>
        </is>
      </c>
    </row>
    <row r="11">
      <c r="A11" s="6" t="inlineStr">
        <is>
          <t>C2 · NCA + prototipos (métrica aprendida)</t>
        </is>
      </c>
      <c r="B11" s="11" t="n">
        <v>0.3559</v>
      </c>
      <c r="C11" s="11" t="n">
        <v>0.0428</v>
      </c>
      <c r="D11" s="11" t="n">
        <v>0.6148</v>
      </c>
      <c r="E11" s="25" t="n">
        <v>-0.3859</v>
      </c>
      <c r="F11" s="28" t="n">
        <v>-13.297</v>
      </c>
      <c r="G11" s="11" t="n">
        <v>0</v>
      </c>
      <c r="H11" s="6" t="inlineStr">
        <is>
          <t>peor (relevante)</t>
        </is>
      </c>
    </row>
    <row r="12">
      <c r="A12" s="5" t="inlineStr">
        <is>
          <t>C3 · NCA + k vecinos</t>
        </is>
      </c>
      <c r="B12" s="8" t="n">
        <v>0.6084000000000001</v>
      </c>
      <c r="C12" s="8" t="n">
        <v>0.0712</v>
      </c>
      <c r="D12" s="8" t="n">
        <v>0.7934</v>
      </c>
      <c r="E12" s="24" t="n">
        <v>-0.1334</v>
      </c>
      <c r="F12" s="26" t="n">
        <v>-2.851</v>
      </c>
      <c r="G12" s="8" t="n">
        <v>0.0191</v>
      </c>
      <c r="H12" s="5" t="inlineStr">
        <is>
          <t>peor (relevante)</t>
        </is>
      </c>
    </row>
    <row r="13">
      <c r="A13" s="6" t="inlineStr">
        <is>
          <t>C4 · k vecinos sin métrica aprendida</t>
        </is>
      </c>
      <c r="B13" s="11" t="n">
        <v>0.6435</v>
      </c>
      <c r="C13" s="11" t="n">
        <v>0.045</v>
      </c>
      <c r="D13" s="11" t="n">
        <v>0.7724</v>
      </c>
      <c r="E13" s="25" t="n">
        <v>-0.0983</v>
      </c>
      <c r="F13" s="28" t="n">
        <v>-4.267</v>
      </c>
      <c r="G13" s="11" t="n">
        <v>0.0021</v>
      </c>
      <c r="H13" s="6" t="inlineStr">
        <is>
          <t>peor (relevante)</t>
        </is>
      </c>
    </row>
    <row r="15" ht="32" customHeight="1">
      <c r="A15" s="12" t="inlineStr">
        <is>
          <t>Ninguno alcanza a Random Forest. Y un detalle instructivo: aprender la métrica con NCA EMPEORA los prototipos (0,356 frente a 0,437) y apenas mejora los vecinos. Con 19 positivos, NCA sobreajusta la métrica; es justo el régimen en el que los métodos de few-shot dependen de un preentrenamiento externo que aquí no tenemos. El resultado no dice que la familia sea mala: dice que sin corpus del que transferir, no hay atajo.</t>
        </is>
      </c>
    </row>
    <row r="17">
      <c r="A17" s="3" t="inlineStr">
        <is>
          <t>B · CURVA DE TAMAÑO MUESTRAL — qué compra pedir más datos</t>
        </is>
      </c>
    </row>
    <row r="18" ht="32" customHeight="1">
      <c r="A18" s="12" t="inlineStr">
        <is>
          <t>Se submuestrea SOLO el pliegue de entrenamiento; el de prueba queda intacto, de modo que la curva mide el efecto del tamaño y no el de cambiar la evaluación. Hiperparámetros fijos para aislar la variable.</t>
        </is>
      </c>
    </row>
    <row r="19">
      <c r="A19" s="4" t="inlineStr">
        <is>
          <t>Fracción de entrenamiento</t>
        </is>
      </c>
      <c r="B19" s="4" t="inlineStr">
        <is>
          <t>n entrenamiento (medio)</t>
        </is>
      </c>
      <c r="C19" s="4" t="inlineStr">
        <is>
          <t>positivos (medio)</t>
        </is>
      </c>
      <c r="D19" s="4" t="inlineStr">
        <is>
          <t>AUC-PR</t>
        </is>
      </c>
      <c r="E19" s="4" t="inlineStr">
        <is>
          <t>DE</t>
        </is>
      </c>
      <c r="F19" s="4" t="inlineStr">
        <is>
          <t>AUC-ROC</t>
        </is>
      </c>
    </row>
    <row r="20">
      <c r="A20" s="5" t="inlineStr">
        <is>
          <t>35%</t>
        </is>
      </c>
      <c r="B20" s="40" t="n">
        <v>22</v>
      </c>
      <c r="C20" s="40" t="n">
        <v>5.1</v>
      </c>
      <c r="D20" s="8" t="n">
        <v>0.5487</v>
      </c>
      <c r="E20" s="8" t="n">
        <v>0.1113</v>
      </c>
      <c r="F20" s="8" t="n">
        <v>0.6934</v>
      </c>
    </row>
    <row r="21">
      <c r="A21" s="6" t="inlineStr">
        <is>
          <t>45%</t>
        </is>
      </c>
      <c r="B21" s="41" t="n">
        <v>28</v>
      </c>
      <c r="C21" s="41" t="n">
        <v>7</v>
      </c>
      <c r="D21" s="11" t="n">
        <v>0.6147</v>
      </c>
      <c r="E21" s="11" t="n">
        <v>0.0968</v>
      </c>
      <c r="F21" s="11" t="n">
        <v>0.7428</v>
      </c>
    </row>
    <row r="22">
      <c r="A22" s="5" t="inlineStr">
        <is>
          <t>55%</t>
        </is>
      </c>
      <c r="B22" s="40" t="n">
        <v>35</v>
      </c>
      <c r="C22" s="40" t="n">
        <v>8.199999999999999</v>
      </c>
      <c r="D22" s="8" t="n">
        <v>0.6701</v>
      </c>
      <c r="E22" s="8" t="n">
        <v>0.07679999999999999</v>
      </c>
      <c r="F22" s="8" t="n">
        <v>0.7518</v>
      </c>
    </row>
    <row r="23">
      <c r="A23" s="6" t="inlineStr">
        <is>
          <t>70%</t>
        </is>
      </c>
      <c r="B23" s="41" t="n">
        <v>44</v>
      </c>
      <c r="C23" s="41" t="n">
        <v>10.2</v>
      </c>
      <c r="D23" s="11" t="n">
        <v>0.6945</v>
      </c>
      <c r="E23" s="11" t="n">
        <v>0.0298</v>
      </c>
      <c r="F23" s="11" t="n">
        <v>0.7718</v>
      </c>
    </row>
    <row r="24">
      <c r="A24" s="5" t="inlineStr">
        <is>
          <t>85%</t>
        </is>
      </c>
      <c r="B24" s="40" t="n">
        <v>54</v>
      </c>
      <c r="C24" s="40" t="n">
        <v>13.1</v>
      </c>
      <c r="D24" s="8" t="n">
        <v>0.738</v>
      </c>
      <c r="E24" s="8" t="n">
        <v>0.0201</v>
      </c>
      <c r="F24" s="8" t="n">
        <v>0.8006</v>
      </c>
    </row>
    <row r="25">
      <c r="A25" s="6" t="inlineStr">
        <is>
          <t>100%</t>
        </is>
      </c>
      <c r="B25" s="41" t="n">
        <v>64</v>
      </c>
      <c r="C25" s="41" t="n">
        <v>15.2</v>
      </c>
      <c r="D25" s="11" t="n">
        <v>0.7466</v>
      </c>
      <c r="E25" s="11" t="n">
        <v>0.0126</v>
      </c>
      <c r="F25" s="11" t="n">
        <v>0.8003</v>
      </c>
    </row>
    <row r="27">
      <c r="A27" s="3" t="inlineStr">
        <is>
          <t>C · Extrapolación por ley de potencias</t>
        </is>
      </c>
    </row>
    <row r="28">
      <c r="A28" s="4" t="inlineStr">
        <is>
          <t>n total estimado</t>
        </is>
      </c>
      <c r="B28" s="4" t="inlineStr">
        <is>
          <t>AUC-PR proyectado</t>
        </is>
      </c>
      <c r="C28" s="4" t="inlineStr">
        <is>
          <t>Ganancia sobre hoy</t>
        </is>
      </c>
      <c r="D28" s="4" t="inlineStr">
        <is>
          <t>Comentario</t>
        </is>
      </c>
    </row>
    <row r="29">
      <c r="A29" s="5" t="n">
        <v>80</v>
      </c>
      <c r="B29" s="26" t="n">
        <v>0.749</v>
      </c>
      <c r="C29" s="42" t="n">
        <v>0</v>
      </c>
      <c r="D29" s="5" t="inlineStr">
        <is>
          <t>situación actual</t>
        </is>
      </c>
    </row>
    <row r="30">
      <c r="A30" s="9" t="n">
        <v>160</v>
      </c>
      <c r="B30" s="30" t="n">
        <v>0.7965</v>
      </c>
      <c r="C30" s="37" t="n">
        <v>0.0475</v>
      </c>
      <c r="D30" s="9" t="inlineStr">
        <is>
          <t>duplicar la muestra</t>
        </is>
      </c>
    </row>
    <row r="31">
      <c r="A31" s="5" t="n">
        <v>240</v>
      </c>
      <c r="B31" s="26" t="n">
        <v>0.8114</v>
      </c>
      <c r="C31" s="42" t="n">
        <v>0.0624</v>
      </c>
      <c r="D31" s="5" t="inlineStr">
        <is>
          <t>triplicar</t>
        </is>
      </c>
    </row>
    <row r="32">
      <c r="A32" s="6" t="n">
        <v>320</v>
      </c>
      <c r="B32" s="28" t="n">
        <v>0.8186</v>
      </c>
      <c r="C32" s="38" t="n">
        <v>0.0696</v>
      </c>
      <c r="D32" s="6" t="inlineStr">
        <is>
          <t>cuadruplicar</t>
        </is>
      </c>
    </row>
    <row r="33">
      <c r="A33" s="5" t="n">
        <v>400</v>
      </c>
      <c r="B33" s="26" t="n">
        <v>0.8228</v>
      </c>
      <c r="C33" s="42" t="n">
        <v>0.0738</v>
      </c>
      <c r="D33" s="5" t="inlineStr">
        <is>
          <t>quintuplicar</t>
        </is>
      </c>
    </row>
    <row r="35" ht="32" customHeight="1">
      <c r="A35" s="12" t="inlineStr">
        <is>
          <t>Ajuste AUC-PR(n) = 0.838 − 8.843·n^(−1.107) con R² = 0.994. Techo asintótico estimado: 0.838.</t>
        </is>
      </c>
    </row>
    <row r="36" ht="32" customHeight="1">
      <c r="A36" s="23" t="inlineStr">
        <is>
          <t>LECTURA PARA LA PETICIÓN DE DATOS: duplicar la muestra (una cohorte más) compra en torno a +0,05 de AUC-PR; cuadruplicarla, unos +0,07. La curva satura pronto porque el techo lo impone la INFORMACIÓN DISPONIBLE, no el número de filas. Conclusión honesta: las cohortes nuevas son muy valiosas —sobre todo porque permiten la validación externa que hoy no existe— pero si además se pudiera incorporar asistencia (art. 58), fechas de pago y créditos cancelados, el techo mismo subiría. Más filas mejoran la estimación; más variables mueven el límite.</t>
        </is>
      </c>
    </row>
    <row r="38" ht="32" customHeight="1">
      <c r="A38" s="7" t="inlineStr">
        <is>
          <t>⚠ CAUTELA: extrapolar desde 64 casos de entrenamiento hasta 320 es una proyección de orden de magnitud, no una predicción. Supone que las cohortes nuevas se parecen a las actuales y que la prevalencia del evento se mantiene. Si el reglamento cambió de régimen entre cohortes, ese supuesto se rompe.</t>
        </is>
      </c>
    </row>
  </sheetData>
  <mergeCells count="7">
    <mergeCell ref="A18:H18"/>
    <mergeCell ref="A1:H1"/>
    <mergeCell ref="A15:H15"/>
    <mergeCell ref="A35:H35"/>
    <mergeCell ref="A38:H38"/>
    <mergeCell ref="A36:H36"/>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2026-09-29T15:04:42Z</dcterms:created>
  <dcterms:modified xmlns:dcterms="http://purl.org/dc/terms/" xmlns:xsi="http://www.w3.org/2001/XMLSchema-instance" xsi:type="dcterms:W3CDTF">2026-09-29T15:04:43Z</dcterms:modified>
</cp:coreProperties>
</file>